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hythm" sheetId="1" state="visible" r:id="rId3"/>
    <sheet name="Bea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<sst xmlns="http://schemas.openxmlformats.org/spreadsheetml/2006/main" count="386" uniqueCount="55">
  <si>
    <t xml:space="preserve">RHYTHM — EC57 epicmp (duration / episode) và rhythm_eval, theo database → lớp → model</t>
  </si>
  <si>
    <t xml:space="preserve">Giao thức chung: decode chính thức (config mặc định), hop 5 s, TTA id,flip,swap, 5 lớp (AVB = AVB2+AVB3), AFL tính là AF (epicmp -x). F1 = 2·Se·+P/(Se+P) (công thức). Target = bảng sản phẩm "rhythm 3.0.6". nstdb, ahadb không có cơn rhythm tham chiếu nên không có dòng ở sheet này.</t>
  </si>
  <si>
    <t xml:space="preserve">Database</t>
  </si>
  <si>
    <t xml:space="preserve">Lớp</t>
  </si>
  <si>
    <t xml:space="preserve">Model</t>
  </si>
  <si>
    <t xml:space="preserve">Tham số</t>
  </si>
  <si>
    <t xml:space="preserve">Duration Se</t>
  </si>
  <si>
    <t xml:space="preserve">Duration +P</t>
  </si>
  <si>
    <t xml:space="preserve">Duration F1</t>
  </si>
  <si>
    <t xml:space="preserve">Episode Se</t>
  </si>
  <si>
    <t xml:space="preserve">Episode +P</t>
  </si>
  <si>
    <t xml:space="preserve">Episode F1</t>
  </si>
  <si>
    <t xml:space="preserve">Records</t>
  </si>
  <si>
    <t xml:space="preserve">mitdb</t>
  </si>
  <si>
    <t xml:space="preserve">AFIB</t>
  </si>
  <si>
    <t xml:space="preserve">Dual U-Net 1m s1 e26 (release)</t>
  </si>
  <si>
    <t xml:space="preserve">989k</t>
  </si>
  <si>
    <t xml:space="preserve">Dual U-Net 1m s2 e30</t>
  </si>
  <si>
    <t xml:space="preserve">Dual U-Net 100k (distill)</t>
  </si>
  <si>
    <t xml:space="preserve">80k</t>
  </si>
  <si>
    <t xml:space="preserve">Dual U-Net 30k (distill)</t>
  </si>
  <si>
    <t xml:space="preserve">23k</t>
  </si>
  <si>
    <t xml:space="preserve">SVT</t>
  </si>
  <si>
    <t xml:space="preserve">VT</t>
  </si>
  <si>
    <t xml:space="preserve">AVB</t>
  </si>
  <si>
    <t xml:space="preserve">afdb</t>
  </si>
  <si>
    <t xml:space="preserve">escdb</t>
  </si>
  <si>
    <t xml:space="preserve">rhythm_eval</t>
  </si>
  <si>
    <t xml:space="preserve">DATA EVAL — tập test của dữ liệu train (7.233 window 10 s), chấm theo giây trên giây có nhãn</t>
  </si>
  <si>
    <t xml:space="preserve">F1 macro theo mức nhiễu (nhiễu thêm vào mọi window với SNR cố định); Se / +P / F1 theo lớp ở tập sạch.</t>
  </si>
  <si>
    <t xml:space="preserve">Sạch</t>
  </si>
  <si>
    <t xml:space="preserve">18 dB</t>
  </si>
  <si>
    <t xml:space="preserve">12 dB</t>
  </si>
  <si>
    <t xml:space="preserve">6 dB</t>
  </si>
  <si>
    <t xml:space="preserve">0 dB</t>
  </si>
  <si>
    <t xml:space="preserve">−6 dB</t>
  </si>
  <si>
    <t xml:space="preserve">test split</t>
  </si>
  <si>
    <t xml:space="preserve">Se</t>
  </si>
  <si>
    <t xml:space="preserve">+P</t>
  </si>
  <si>
    <t xml:space="preserve">F1</t>
  </si>
  <si>
    <t xml:space="preserve">Giây tham chiếu</t>
  </si>
  <si>
    <t xml:space="preserve">SINUS</t>
  </si>
  <si>
    <t xml:space="preserve">BEAT — bxb (AAMI EC57), theo database → model</t>
  </si>
  <si>
    <t xml:space="preserve">QRS Se</t>
  </si>
  <si>
    <t xml:space="preserve">QRS +P</t>
  </si>
  <si>
    <t xml:space="preserve">QRS F1</t>
  </si>
  <si>
    <t xml:space="preserve">VEB Se</t>
  </si>
  <si>
    <t xml:space="preserve">VEB +P</t>
  </si>
  <si>
    <t xml:space="preserve">VEB F1</t>
  </si>
  <si>
    <t xml:space="preserve">SVEB Se</t>
  </si>
  <si>
    <t xml:space="preserve">SVEB +P</t>
  </si>
  <si>
    <t xml:space="preserve">SVEB F1</t>
  </si>
  <si>
    <t xml:space="preserve">-</t>
  </si>
  <si>
    <t xml:space="preserve">nstdb</t>
  </si>
  <si>
    <t xml:space="preserve">ahadb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</si>
</sst>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theme="9" tint="-0.25"/>
      <name val="Arial"/>
      <family val="0"/>
      <charset val="1"/>
    </font>
    <font>
      <b val="true"/>
      <sz val="10"/>
      <color theme="9" tint="-0.2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7E4BD"/>
        <bgColor rgb="FFC6EFCE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G26" activeCellId="0" sqref="G2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34"/>
    <col collapsed="false" customWidth="true" hidden="false" outlineLevel="0" max="4" min="4" style="1" width="9"/>
    <col collapsed="false" customWidth="true" hidden="false" outlineLevel="0" max="10" min="5" style="1" width="11"/>
    <col collapsed="false" customWidth="true" hidden="false" outlineLevel="0" max="11" min="11" style="1" width="9"/>
    <col collapsed="false" customWidth="true" hidden="false" outlineLevel="0" max="16384" min="16381" style="0" width="10.16"/>
  </cols>
  <sheetData>
    <row r="1" customFormat="false" ht="15" hidden="false" customHeight="false" outlineLevel="0" collapsed="false">
      <c r="A1" s="2" t="s">
        <v>0</v>
      </c>
    </row>
    <row r="2" customFormat="false" ht="4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false" outlineLevel="0" collapsed="false">
      <c r="A5" s="5" t="s">
        <v>13</v>
      </c>
      <c r="B5" s="5" t="s">
        <v>14</v>
      </c>
      <c r="C5" s="5" t="s">
        <v>15</v>
      </c>
      <c r="D5" s="5" t="s">
        <v>16</v>
      </c>
      <c r="E5" s="6" t="n">
        <v>92</v>
      </c>
      <c r="F5" s="6" t="n">
        <v>94</v>
      </c>
      <c r="G5" s="7" t="n">
        <f aca="false">IF(AND(ISNUMBER(E5),ISNUMBER(F5)),IF(E5+F5&gt;0,2*E5*F5/(E5+F5),0),"-")</f>
        <v>92.989247311828</v>
      </c>
      <c r="H5" s="6" t="n">
        <v>86</v>
      </c>
      <c r="I5" s="6" t="n">
        <v>75</v>
      </c>
      <c r="J5" s="7" t="n">
        <f aca="false">IF(AND(ISNUMBER(H5),ISNUMBER(I5)),IF(H5+I5&gt;0,2*H5*I5/(H5+I5),0),"-")</f>
        <v>80.1242236024845</v>
      </c>
      <c r="K5" s="6" t="n">
        <v>44</v>
      </c>
    </row>
    <row r="6" customFormat="false" ht="15" hidden="false" customHeight="false" outlineLevel="0" collapsed="false">
      <c r="A6" s="5" t="s">
        <v>13</v>
      </c>
      <c r="B6" s="5" t="s">
        <v>14</v>
      </c>
      <c r="C6" s="5" t="s">
        <v>17</v>
      </c>
      <c r="D6" s="5" t="s">
        <v>16</v>
      </c>
      <c r="E6" s="6" t="n">
        <v>91</v>
      </c>
      <c r="F6" s="6" t="n">
        <v>92</v>
      </c>
      <c r="G6" s="7" t="n">
        <f aca="false">IF(AND(ISNUMBER(E6),ISNUMBER(F6)),IF(E6+F6&gt;0,2*E6*F6/(E6+F6),0),"-")</f>
        <v>91.4972677595629</v>
      </c>
      <c r="H6" s="6" t="n">
        <v>86</v>
      </c>
      <c r="I6" s="6" t="n">
        <v>69</v>
      </c>
      <c r="J6" s="7" t="n">
        <f aca="false">IF(AND(ISNUMBER(H6),ISNUMBER(I6)),IF(H6+I6&gt;0,2*H6*I6/(H6+I6),0),"-")</f>
        <v>76.5677419354839</v>
      </c>
      <c r="K6" s="6" t="n">
        <v>44</v>
      </c>
    </row>
    <row r="7" customFormat="false" ht="15" hidden="false" customHeight="false" outlineLevel="0" collapsed="false">
      <c r="A7" s="5" t="s">
        <v>13</v>
      </c>
      <c r="B7" s="5" t="s">
        <v>14</v>
      </c>
      <c r="C7" s="5" t="s">
        <v>18</v>
      </c>
      <c r="D7" s="5" t="s">
        <v>19</v>
      </c>
      <c r="E7" s="6" t="n">
        <v>89</v>
      </c>
      <c r="F7" s="6" t="n">
        <v>76</v>
      </c>
      <c r="G7" s="7" t="n">
        <f aca="false">IF(AND(ISNUMBER(E7),ISNUMBER(F7)),IF(E7+F7&gt;0,2*E7*F7/(E7+F7),0),"-")</f>
        <v>81.9878787878788</v>
      </c>
      <c r="H7" s="6" t="n">
        <v>86</v>
      </c>
      <c r="I7" s="6" t="n">
        <v>61</v>
      </c>
      <c r="J7" s="7" t="n">
        <f aca="false">IF(AND(ISNUMBER(H7),ISNUMBER(I7)),IF(H7+I7&gt;0,2*H7*I7/(H7+I7),0),"-")</f>
        <v>71.374149659864</v>
      </c>
      <c r="K7" s="6" t="n">
        <v>44</v>
      </c>
    </row>
    <row r="8" customFormat="false" ht="15" hidden="false" customHeight="false" outlineLevel="0" collapsed="false">
      <c r="A8" s="5" t="s">
        <v>13</v>
      </c>
      <c r="B8" s="5" t="s">
        <v>14</v>
      </c>
      <c r="C8" s="5" t="s">
        <v>20</v>
      </c>
      <c r="D8" s="5" t="s">
        <v>21</v>
      </c>
      <c r="E8" s="6" t="n">
        <v>95</v>
      </c>
      <c r="F8" s="6" t="n">
        <v>77</v>
      </c>
      <c r="G8" s="7" t="n">
        <f aca="false">IF(AND(ISNUMBER(E8),ISNUMBER(F8)),IF(E8+F8&gt;0,2*E8*F8/(E8+F8),0),"-")</f>
        <v>85.0581395348837</v>
      </c>
      <c r="H8" s="6" t="n">
        <v>81</v>
      </c>
      <c r="I8" s="6" t="n">
        <v>42</v>
      </c>
      <c r="J8" s="7" t="n">
        <f aca="false">IF(AND(ISNUMBER(H8),ISNUMBER(I8)),IF(H8+I8&gt;0,2*H8*I8/(H8+I8),0),"-")</f>
        <v>55.3170731707317</v>
      </c>
      <c r="K8" s="6" t="n">
        <v>44</v>
      </c>
    </row>
    <row r="9" customFormat="false" ht="15" hidden="false" customHeight="false" outlineLevel="0" collapsed="false">
      <c r="A9" s="8" t="s">
        <v>13</v>
      </c>
      <c r="B9" s="8" t="s">
        <v>22</v>
      </c>
      <c r="C9" s="9" t="s">
        <v>15</v>
      </c>
      <c r="D9" s="9" t="s">
        <v>16</v>
      </c>
      <c r="E9" s="10" t="n">
        <v>58</v>
      </c>
      <c r="F9" s="10" t="n">
        <v>46</v>
      </c>
      <c r="G9" s="11" t="n">
        <f aca="false">IF(AND(ISNUMBER(E9),ISNUMBER(F9)),IF(E9+F9&gt;0,2*E9*F9/(E9+F9),0),"-")</f>
        <v>51.3076923076923</v>
      </c>
      <c r="H9" s="10" t="n">
        <v>69</v>
      </c>
      <c r="I9" s="10" t="n">
        <v>46</v>
      </c>
      <c r="J9" s="11" t="n">
        <f aca="false">IF(AND(ISNUMBER(H9),ISNUMBER(I9)),IF(H9+I9&gt;0,2*H9*I9/(H9+I9),0),"-")</f>
        <v>55.2</v>
      </c>
      <c r="K9" s="10" t="n">
        <v>44</v>
      </c>
    </row>
    <row r="10" customFormat="false" ht="15" hidden="false" customHeight="false" outlineLevel="0" collapsed="false">
      <c r="A10" s="8" t="s">
        <v>13</v>
      </c>
      <c r="B10" s="8" t="s">
        <v>22</v>
      </c>
      <c r="C10" s="9" t="s">
        <v>17</v>
      </c>
      <c r="D10" s="9" t="s">
        <v>16</v>
      </c>
      <c r="E10" s="10" t="n">
        <v>62</v>
      </c>
      <c r="F10" s="10" t="n">
        <v>47</v>
      </c>
      <c r="G10" s="11" t="n">
        <f aca="false">IF(AND(ISNUMBER(E10),ISNUMBER(F10)),IF(E10+F10&gt;0,2*E10*F10/(E10+F10),0),"-")</f>
        <v>53.4678899082569</v>
      </c>
      <c r="H10" s="10" t="n">
        <v>69</v>
      </c>
      <c r="I10" s="10" t="n">
        <v>50</v>
      </c>
      <c r="J10" s="11" t="n">
        <f aca="false">IF(AND(ISNUMBER(H10),ISNUMBER(I10)),IF(H10+I10&gt;0,2*H10*I10/(H10+I10),0),"-")</f>
        <v>57.9831932773109</v>
      </c>
      <c r="K10" s="10" t="n">
        <v>44</v>
      </c>
    </row>
    <row r="11" customFormat="false" ht="15" hidden="false" customHeight="false" outlineLevel="0" collapsed="false">
      <c r="A11" s="8" t="s">
        <v>13</v>
      </c>
      <c r="B11" s="8" t="s">
        <v>22</v>
      </c>
      <c r="C11" s="9" t="s">
        <v>18</v>
      </c>
      <c r="D11" s="9" t="s">
        <v>19</v>
      </c>
      <c r="E11" s="10" t="n">
        <v>45</v>
      </c>
      <c r="F11" s="10" t="n">
        <v>53</v>
      </c>
      <c r="G11" s="11" t="n">
        <f aca="false">IF(AND(ISNUMBER(E11),ISNUMBER(F11)),IF(E11+F11&gt;0,2*E11*F11/(E11+F11),0),"-")</f>
        <v>48.6734693877551</v>
      </c>
      <c r="H11" s="10" t="n">
        <v>58</v>
      </c>
      <c r="I11" s="10" t="n">
        <v>63</v>
      </c>
      <c r="J11" s="11" t="n">
        <f aca="false">IF(AND(ISNUMBER(H11),ISNUMBER(I11)),IF(H11+I11&gt;0,2*H11*I11/(H11+I11),0),"-")</f>
        <v>60.396694214876</v>
      </c>
      <c r="K11" s="10" t="n">
        <v>44</v>
      </c>
    </row>
    <row r="12" customFormat="false" ht="15" hidden="false" customHeight="false" outlineLevel="0" collapsed="false">
      <c r="A12" s="8" t="s">
        <v>13</v>
      </c>
      <c r="B12" s="8" t="s">
        <v>22</v>
      </c>
      <c r="C12" s="9" t="s">
        <v>20</v>
      </c>
      <c r="D12" s="9" t="s">
        <v>21</v>
      </c>
      <c r="E12" s="10" t="n">
        <v>52</v>
      </c>
      <c r="F12" s="10" t="n">
        <v>40</v>
      </c>
      <c r="G12" s="11" t="n">
        <f aca="false">IF(AND(ISNUMBER(E12),ISNUMBER(F12)),IF(E12+F12&gt;0,2*E12*F12/(E12+F12),0),"-")</f>
        <v>45.2173913043478</v>
      </c>
      <c r="H12" s="10" t="n">
        <v>46</v>
      </c>
      <c r="I12" s="10" t="n">
        <v>34</v>
      </c>
      <c r="J12" s="11" t="n">
        <f aca="false">IF(AND(ISNUMBER(H12),ISNUMBER(I12)),IF(H12+I12&gt;0,2*H12*I12/(H12+I12),0),"-")</f>
        <v>39.1</v>
      </c>
      <c r="K12" s="10" t="n">
        <v>44</v>
      </c>
    </row>
    <row r="13" customFormat="false" ht="15" hidden="false" customHeight="false" outlineLevel="0" collapsed="false">
      <c r="A13" s="5" t="s">
        <v>13</v>
      </c>
      <c r="B13" s="5" t="s">
        <v>23</v>
      </c>
      <c r="C13" s="5" t="s">
        <v>15</v>
      </c>
      <c r="D13" s="5" t="s">
        <v>16</v>
      </c>
      <c r="E13" s="6" t="n">
        <v>68</v>
      </c>
      <c r="F13" s="6" t="n">
        <v>46</v>
      </c>
      <c r="G13" s="7" t="n">
        <f aca="false">IF(AND(ISNUMBER(E13),ISNUMBER(F13)),IF(E13+F13&gt;0,2*E13*F13/(E13+F13),0),"-")</f>
        <v>54.8771929824561</v>
      </c>
      <c r="H13" s="6" t="n">
        <v>65</v>
      </c>
      <c r="I13" s="6" t="n">
        <v>73</v>
      </c>
      <c r="J13" s="7" t="n">
        <f aca="false">IF(AND(ISNUMBER(H13),ISNUMBER(I13)),IF(H13+I13&gt;0,2*H13*I13/(H13+I13),0),"-")</f>
        <v>68.768115942029</v>
      </c>
      <c r="K13" s="6" t="n">
        <v>44</v>
      </c>
    </row>
    <row r="14" customFormat="false" ht="15" hidden="false" customHeight="false" outlineLevel="0" collapsed="false">
      <c r="A14" s="5" t="s">
        <v>13</v>
      </c>
      <c r="B14" s="5" t="s">
        <v>23</v>
      </c>
      <c r="C14" s="5" t="s">
        <v>17</v>
      </c>
      <c r="D14" s="5" t="s">
        <v>16</v>
      </c>
      <c r="E14" s="6" t="n">
        <v>75</v>
      </c>
      <c r="F14" s="6" t="n">
        <v>50</v>
      </c>
      <c r="G14" s="7" t="n">
        <f aca="false">IF(AND(ISNUMBER(E14),ISNUMBER(F14)),IF(E14+F14&gt;0,2*E14*F14/(E14+F14),0),"-")</f>
        <v>60</v>
      </c>
      <c r="H14" s="6" t="n">
        <v>61</v>
      </c>
      <c r="I14" s="6" t="n">
        <v>73</v>
      </c>
      <c r="J14" s="7" t="n">
        <f aca="false">IF(AND(ISNUMBER(H14),ISNUMBER(I14)),IF(H14+I14&gt;0,2*H14*I14/(H14+I14),0),"-")</f>
        <v>66.4626865671642</v>
      </c>
      <c r="K14" s="6" t="n">
        <v>44</v>
      </c>
    </row>
    <row r="15" customFormat="false" ht="15" hidden="false" customHeight="false" outlineLevel="0" collapsed="false">
      <c r="A15" s="5" t="s">
        <v>13</v>
      </c>
      <c r="B15" s="5" t="s">
        <v>23</v>
      </c>
      <c r="C15" s="5" t="s">
        <v>18</v>
      </c>
      <c r="D15" s="5" t="s">
        <v>19</v>
      </c>
      <c r="E15" s="6" t="n">
        <v>70</v>
      </c>
      <c r="F15" s="6" t="n">
        <v>72</v>
      </c>
      <c r="G15" s="7" t="n">
        <f aca="false">IF(AND(ISNUMBER(E15),ISNUMBER(F15)),IF(E15+F15&gt;0,2*E15*F15/(E15+F15),0),"-")</f>
        <v>70.9859154929577</v>
      </c>
      <c r="H15" s="6" t="n">
        <v>47</v>
      </c>
      <c r="I15" s="6" t="n">
        <v>85</v>
      </c>
      <c r="J15" s="7" t="n">
        <f aca="false">IF(AND(ISNUMBER(H15),ISNUMBER(I15)),IF(H15+I15&gt;0,2*H15*I15/(H15+I15),0),"-")</f>
        <v>60.530303030303</v>
      </c>
      <c r="K15" s="6" t="n">
        <v>44</v>
      </c>
    </row>
    <row r="16" customFormat="false" ht="15" hidden="false" customHeight="false" outlineLevel="0" collapsed="false">
      <c r="A16" s="5" t="s">
        <v>13</v>
      </c>
      <c r="B16" s="5" t="s">
        <v>23</v>
      </c>
      <c r="C16" s="5" t="s">
        <v>20</v>
      </c>
      <c r="D16" s="5" t="s">
        <v>21</v>
      </c>
      <c r="E16" s="6" t="n">
        <v>64</v>
      </c>
      <c r="F16" s="6" t="n">
        <v>81</v>
      </c>
      <c r="G16" s="7" t="n">
        <f aca="false">IF(AND(ISNUMBER(E16),ISNUMBER(F16)),IF(E16+F16&gt;0,2*E16*F16/(E16+F16),0),"-")</f>
        <v>71.5034482758621</v>
      </c>
      <c r="H16" s="6" t="n">
        <v>33</v>
      </c>
      <c r="I16" s="6" t="n">
        <v>71</v>
      </c>
      <c r="J16" s="7" t="n">
        <f aca="false">IF(AND(ISNUMBER(H16),ISNUMBER(I16)),IF(H16+I16&gt;0,2*H16*I16/(H16+I16),0),"-")</f>
        <v>45.0576923076923</v>
      </c>
      <c r="K16" s="6" t="n">
        <v>44</v>
      </c>
    </row>
    <row r="17" customFormat="false" ht="15" hidden="false" customHeight="false" outlineLevel="0" collapsed="false">
      <c r="A17" s="8" t="s">
        <v>13</v>
      </c>
      <c r="B17" s="8" t="s">
        <v>24</v>
      </c>
      <c r="C17" s="9" t="s">
        <v>15</v>
      </c>
      <c r="D17" s="9" t="s">
        <v>16</v>
      </c>
      <c r="E17" s="10" t="n">
        <v>100</v>
      </c>
      <c r="F17" s="10" t="n">
        <v>95</v>
      </c>
      <c r="G17" s="11" t="n">
        <f aca="false">IF(AND(ISNUMBER(E17),ISNUMBER(F17)),IF(E17+F17&gt;0,2*E17*F17/(E17+F17),0),"-")</f>
        <v>97.4358974358974</v>
      </c>
      <c r="H17" s="10" t="n">
        <v>100</v>
      </c>
      <c r="I17" s="10" t="n">
        <v>44</v>
      </c>
      <c r="J17" s="11" t="n">
        <f aca="false">IF(AND(ISNUMBER(H17),ISNUMBER(I17)),IF(H17+I17&gt;0,2*H17*I17/(H17+I17),0),"-")</f>
        <v>61.1111111111111</v>
      </c>
      <c r="K17" s="10" t="n">
        <v>44</v>
      </c>
    </row>
    <row r="18" customFormat="false" ht="15" hidden="false" customHeight="false" outlineLevel="0" collapsed="false">
      <c r="A18" s="8" t="s">
        <v>13</v>
      </c>
      <c r="B18" s="8" t="s">
        <v>24</v>
      </c>
      <c r="C18" s="9" t="s">
        <v>17</v>
      </c>
      <c r="D18" s="9" t="s">
        <v>16</v>
      </c>
      <c r="E18" s="10" t="n">
        <v>100</v>
      </c>
      <c r="F18" s="10" t="n">
        <v>88</v>
      </c>
      <c r="G18" s="11" t="n">
        <f aca="false">IF(AND(ISNUMBER(E18),ISNUMBER(F18)),IF(E18+F18&gt;0,2*E18*F18/(E18+F18),0),"-")</f>
        <v>93.6170212765958</v>
      </c>
      <c r="H18" s="10" t="n">
        <v>100</v>
      </c>
      <c r="I18" s="10" t="n">
        <v>25</v>
      </c>
      <c r="J18" s="11" t="n">
        <f aca="false">IF(AND(ISNUMBER(H18),ISNUMBER(I18)),IF(H18+I18&gt;0,2*H18*I18/(H18+I18),0),"-")</f>
        <v>40</v>
      </c>
      <c r="K18" s="10" t="n">
        <v>44</v>
      </c>
    </row>
    <row r="19" customFormat="false" ht="15" hidden="false" customHeight="false" outlineLevel="0" collapsed="false">
      <c r="A19" s="8" t="s">
        <v>13</v>
      </c>
      <c r="B19" s="8" t="s">
        <v>24</v>
      </c>
      <c r="C19" s="9" t="s">
        <v>18</v>
      </c>
      <c r="D19" s="9" t="s">
        <v>19</v>
      </c>
      <c r="E19" s="10" t="n">
        <v>100</v>
      </c>
      <c r="F19" s="10" t="n">
        <v>94</v>
      </c>
      <c r="G19" s="11" t="n">
        <f aca="false">IF(AND(ISNUMBER(E19),ISNUMBER(F19)),IF(E19+F19&gt;0,2*E19*F19/(E19+F19),0),"-")</f>
        <v>96.9072164948454</v>
      </c>
      <c r="H19" s="10" t="n">
        <v>100</v>
      </c>
      <c r="I19" s="10" t="n">
        <v>36</v>
      </c>
      <c r="J19" s="11" t="n">
        <f aca="false">IF(AND(ISNUMBER(H19),ISNUMBER(I19)),IF(H19+I19&gt;0,2*H19*I19/(H19+I19),0),"-")</f>
        <v>52.9411764705882</v>
      </c>
      <c r="K19" s="10" t="n">
        <v>44</v>
      </c>
    </row>
    <row r="20" customFormat="false" ht="15" hidden="false" customHeight="false" outlineLevel="0" collapsed="false">
      <c r="A20" s="8" t="s">
        <v>13</v>
      </c>
      <c r="B20" s="8" t="s">
        <v>24</v>
      </c>
      <c r="C20" s="9" t="s">
        <v>20</v>
      </c>
      <c r="D20" s="9" t="s">
        <v>21</v>
      </c>
      <c r="E20" s="10" t="n">
        <v>94</v>
      </c>
      <c r="F20" s="10" t="n">
        <v>92</v>
      </c>
      <c r="G20" s="11" t="n">
        <f aca="false">IF(AND(ISNUMBER(E20),ISNUMBER(F20)),IF(E20+F20&gt;0,2*E20*F20/(E20+F20),0),"-")</f>
        <v>92.989247311828</v>
      </c>
      <c r="H20" s="10" t="n">
        <v>100</v>
      </c>
      <c r="I20" s="10" t="n">
        <v>67</v>
      </c>
      <c r="J20" s="11" t="n">
        <f aca="false">IF(AND(ISNUMBER(H20),ISNUMBER(I20)),IF(H20+I20&gt;0,2*H20*I20/(H20+I20),0),"-")</f>
        <v>80.2395209580838</v>
      </c>
      <c r="K20" s="10" t="n">
        <v>44</v>
      </c>
    </row>
    <row r="21" customFormat="false" ht="15" hidden="false" customHeight="false" outlineLevel="0" collapsed="false">
      <c r="A21" s="5" t="s">
        <v>25</v>
      </c>
      <c r="B21" s="5" t="s">
        <v>14</v>
      </c>
      <c r="C21" s="5" t="s">
        <v>15</v>
      </c>
      <c r="D21" s="5" t="s">
        <v>16</v>
      </c>
      <c r="E21" s="6" t="n">
        <v>96</v>
      </c>
      <c r="F21" s="6" t="n">
        <v>99</v>
      </c>
      <c r="G21" s="7" t="n">
        <f aca="false">IF(AND(ISNUMBER(E21),ISNUMBER(F21)),IF(E21+F21&gt;0,2*E21*F21/(E21+F21),0),"-")</f>
        <v>97.4769230769231</v>
      </c>
      <c r="H21" s="6" t="n">
        <v>93</v>
      </c>
      <c r="I21" s="6" t="n">
        <v>92</v>
      </c>
      <c r="J21" s="7" t="n">
        <f aca="false">IF(AND(ISNUMBER(H21),ISNUMBER(I21)),IF(H21+I21&gt;0,2*H21*I21/(H21+I21),0),"-")</f>
        <v>92.4972972972973</v>
      </c>
      <c r="K21" s="6" t="n">
        <v>23</v>
      </c>
    </row>
    <row r="22" customFormat="false" ht="15" hidden="false" customHeight="false" outlineLevel="0" collapsed="false">
      <c r="A22" s="5" t="s">
        <v>25</v>
      </c>
      <c r="B22" s="5" t="s">
        <v>14</v>
      </c>
      <c r="C22" s="5" t="s">
        <v>17</v>
      </c>
      <c r="D22" s="5" t="s">
        <v>16</v>
      </c>
      <c r="E22" s="6" t="n">
        <v>96</v>
      </c>
      <c r="F22" s="6" t="n">
        <v>99</v>
      </c>
      <c r="G22" s="7" t="n">
        <f aca="false">IF(AND(ISNUMBER(E22),ISNUMBER(F22)),IF(E22+F22&gt;0,2*E22*F22/(E22+F22),0),"-")</f>
        <v>97.4769230769231</v>
      </c>
      <c r="H22" s="6" t="n">
        <v>95</v>
      </c>
      <c r="I22" s="6" t="n">
        <v>91</v>
      </c>
      <c r="J22" s="7" t="n">
        <f aca="false">IF(AND(ISNUMBER(H22),ISNUMBER(I22)),IF(H22+I22&gt;0,2*H22*I22/(H22+I22),0),"-")</f>
        <v>92.9569892473118</v>
      </c>
      <c r="K22" s="6" t="n">
        <v>23</v>
      </c>
    </row>
    <row r="23" customFormat="false" ht="15" hidden="false" customHeight="false" outlineLevel="0" collapsed="false">
      <c r="A23" s="5" t="s">
        <v>25</v>
      </c>
      <c r="B23" s="5" t="s">
        <v>14</v>
      </c>
      <c r="C23" s="5" t="s">
        <v>18</v>
      </c>
      <c r="D23" s="5" t="s">
        <v>19</v>
      </c>
      <c r="E23" s="6" t="n">
        <v>98</v>
      </c>
      <c r="F23" s="6" t="n">
        <v>99</v>
      </c>
      <c r="G23" s="7" t="n">
        <f aca="false">IF(AND(ISNUMBER(E23),ISNUMBER(F23)),IF(E23+F23&gt;0,2*E23*F23/(E23+F23),0),"-")</f>
        <v>98.497461928934</v>
      </c>
      <c r="H23" s="6" t="n">
        <v>92</v>
      </c>
      <c r="I23" s="6" t="n">
        <v>89</v>
      </c>
      <c r="J23" s="7" t="n">
        <f aca="false">IF(AND(ISNUMBER(H23),ISNUMBER(I23)),IF(H23+I23&gt;0,2*H23*I23/(H23+I23),0),"-")</f>
        <v>90.475138121547</v>
      </c>
      <c r="K23" s="6" t="n">
        <v>23</v>
      </c>
    </row>
    <row r="24" customFormat="false" ht="15" hidden="false" customHeight="false" outlineLevel="0" collapsed="false">
      <c r="A24" s="5" t="s">
        <v>25</v>
      </c>
      <c r="B24" s="5" t="s">
        <v>14</v>
      </c>
      <c r="C24" s="5" t="s">
        <v>20</v>
      </c>
      <c r="D24" s="5" t="s">
        <v>21</v>
      </c>
      <c r="E24" s="6" t="n">
        <v>97</v>
      </c>
      <c r="F24" s="6" t="n">
        <v>99</v>
      </c>
      <c r="G24" s="7" t="n">
        <f aca="false">IF(AND(ISNUMBER(E24),ISNUMBER(F24)),IF(E24+F24&gt;0,2*E24*F24/(E24+F24),0),"-")</f>
        <v>97.9897959183674</v>
      </c>
      <c r="H24" s="6" t="n">
        <v>91</v>
      </c>
      <c r="I24" s="6" t="n">
        <v>91</v>
      </c>
      <c r="J24" s="7" t="n">
        <f aca="false">IF(AND(ISNUMBER(H24),ISNUMBER(I24)),IF(H24+I24&gt;0,2*H24*I24/(H24+I24),0),"-")</f>
        <v>91</v>
      </c>
      <c r="K24" s="6" t="n">
        <v>23</v>
      </c>
    </row>
    <row r="25" customFormat="false" ht="15" hidden="false" customHeight="false" outlineLevel="0" collapsed="false">
      <c r="A25" s="8" t="s">
        <v>26</v>
      </c>
      <c r="B25" s="8" t="s">
        <v>22</v>
      </c>
      <c r="C25" s="9" t="s">
        <v>15</v>
      </c>
      <c r="D25" s="9" t="s">
        <v>16</v>
      </c>
      <c r="E25" s="10" t="n">
        <v>6</v>
      </c>
      <c r="F25" s="10" t="n">
        <v>2</v>
      </c>
      <c r="G25" s="11" t="n">
        <f aca="false">IF(AND(ISNUMBER(E25),ISNUMBER(F25)),IF(E25+F25&gt;0,2*E25*F25/(E25+F25),0),"-")</f>
        <v>3</v>
      </c>
      <c r="H25" s="10" t="n">
        <v>9</v>
      </c>
      <c r="I25" s="10" t="n">
        <v>15</v>
      </c>
      <c r="J25" s="11" t="n">
        <f aca="false">IF(AND(ISNUMBER(H25),ISNUMBER(I25)),IF(H25+I25&gt;0,2*H25*I25/(H25+I25),0),"-")</f>
        <v>11.25</v>
      </c>
      <c r="K25" s="10" t="n">
        <v>90</v>
      </c>
    </row>
    <row r="26" customFormat="false" ht="15" hidden="false" customHeight="false" outlineLevel="0" collapsed="false">
      <c r="A26" s="8" t="s">
        <v>26</v>
      </c>
      <c r="B26" s="8" t="s">
        <v>22</v>
      </c>
      <c r="C26" s="9" t="s">
        <v>17</v>
      </c>
      <c r="D26" s="9" t="s">
        <v>16</v>
      </c>
      <c r="E26" s="10" t="n">
        <v>6</v>
      </c>
      <c r="F26" s="10" t="n">
        <v>1</v>
      </c>
      <c r="G26" s="11" t="n">
        <f aca="false">IF(AND(ISNUMBER(E26),ISNUMBER(F26)),IF(E26+F26&gt;0,2*E26*F26/(E26+F26),0),"-")</f>
        <v>1.71428571428571</v>
      </c>
      <c r="H26" s="10" t="n">
        <v>9</v>
      </c>
      <c r="I26" s="10" t="n">
        <v>4</v>
      </c>
      <c r="J26" s="11" t="n">
        <f aca="false">IF(AND(ISNUMBER(H26),ISNUMBER(I26)),IF(H26+I26&gt;0,2*H26*I26/(H26+I26),0),"-")</f>
        <v>5.53846153846154</v>
      </c>
      <c r="K26" s="10" t="n">
        <v>90</v>
      </c>
    </row>
    <row r="27" customFormat="false" ht="15" hidden="false" customHeight="false" outlineLevel="0" collapsed="false">
      <c r="A27" s="8" t="s">
        <v>26</v>
      </c>
      <c r="B27" s="8" t="s">
        <v>22</v>
      </c>
      <c r="C27" s="9" t="s">
        <v>18</v>
      </c>
      <c r="D27" s="9" t="s">
        <v>19</v>
      </c>
      <c r="E27" s="10" t="n">
        <v>0</v>
      </c>
      <c r="F27" s="10" t="n">
        <v>0</v>
      </c>
      <c r="G27" s="11" t="n">
        <f aca="false">IF(AND(ISNUMBER(E27),ISNUMBER(F27)),IF(E27+F27&gt;0,2*E27*F27/(E27+F27),0),"-")</f>
        <v>0</v>
      </c>
      <c r="H27" s="10" t="n">
        <v>0</v>
      </c>
      <c r="I27" s="10" t="n">
        <v>0</v>
      </c>
      <c r="J27" s="11" t="n">
        <f aca="false">IF(AND(ISNUMBER(H27),ISNUMBER(I27)),IF(H27+I27&gt;0,2*H27*I27/(H27+I27),0),"-")</f>
        <v>0</v>
      </c>
      <c r="K27" s="10" t="n">
        <v>90</v>
      </c>
    </row>
    <row r="28" customFormat="false" ht="15" hidden="false" customHeight="false" outlineLevel="0" collapsed="false">
      <c r="A28" s="8" t="s">
        <v>26</v>
      </c>
      <c r="B28" s="8" t="s">
        <v>22</v>
      </c>
      <c r="C28" s="9" t="s">
        <v>20</v>
      </c>
      <c r="D28" s="9" t="s">
        <v>21</v>
      </c>
      <c r="E28" s="10" t="n">
        <v>0</v>
      </c>
      <c r="F28" s="10" t="n">
        <v>0</v>
      </c>
      <c r="G28" s="11" t="n">
        <f aca="false">IF(AND(ISNUMBER(E28),ISNUMBER(F28)),IF(E28+F28&gt;0,2*E28*F28/(E28+F28),0),"-")</f>
        <v>0</v>
      </c>
      <c r="H28" s="10" t="n">
        <v>0</v>
      </c>
      <c r="I28" s="10" t="n">
        <v>0</v>
      </c>
      <c r="J28" s="11" t="n">
        <f aca="false">IF(AND(ISNUMBER(H28),ISNUMBER(I28)),IF(H28+I28&gt;0,2*H28*I28/(H28+I28),0),"-")</f>
        <v>0</v>
      </c>
      <c r="K28" s="10" t="n">
        <v>90</v>
      </c>
    </row>
    <row r="29" customFormat="false" ht="15" hidden="false" customHeight="false" outlineLevel="0" collapsed="false">
      <c r="A29" s="5" t="s">
        <v>26</v>
      </c>
      <c r="B29" s="5" t="s">
        <v>23</v>
      </c>
      <c r="C29" s="5" t="s">
        <v>15</v>
      </c>
      <c r="D29" s="5" t="s">
        <v>16</v>
      </c>
      <c r="E29" s="6" t="n">
        <v>62</v>
      </c>
      <c r="F29" s="6" t="n">
        <v>97</v>
      </c>
      <c r="G29" s="7" t="n">
        <f aca="false">IF(AND(ISNUMBER(E29),ISNUMBER(F29)),IF(E29+F29&gt;0,2*E29*F29/(E29+F29),0),"-")</f>
        <v>75.6477987421384</v>
      </c>
      <c r="H29" s="6" t="n">
        <v>69</v>
      </c>
      <c r="I29" s="6" t="n">
        <v>100</v>
      </c>
      <c r="J29" s="7" t="n">
        <f aca="false">IF(AND(ISNUMBER(H29),ISNUMBER(I29)),IF(H29+I29&gt;0,2*H29*I29/(H29+I29),0),"-")</f>
        <v>81.6568047337278</v>
      </c>
      <c r="K29" s="6" t="n">
        <v>90</v>
      </c>
    </row>
    <row r="30" customFormat="false" ht="15" hidden="false" customHeight="false" outlineLevel="0" collapsed="false">
      <c r="A30" s="5" t="s">
        <v>26</v>
      </c>
      <c r="B30" s="5" t="s">
        <v>23</v>
      </c>
      <c r="C30" s="5" t="s">
        <v>17</v>
      </c>
      <c r="D30" s="5" t="s">
        <v>16</v>
      </c>
      <c r="E30" s="6" t="n">
        <v>62</v>
      </c>
      <c r="F30" s="6" t="n">
        <v>99</v>
      </c>
      <c r="G30" s="7" t="n">
        <f aca="false">IF(AND(ISNUMBER(E30),ISNUMBER(F30)),IF(E30+F30&gt;0,2*E30*F30/(E30+F30),0),"-")</f>
        <v>76.2484472049689</v>
      </c>
      <c r="H30" s="6" t="n">
        <v>65</v>
      </c>
      <c r="I30" s="6" t="n">
        <v>100</v>
      </c>
      <c r="J30" s="7" t="n">
        <f aca="false">IF(AND(ISNUMBER(H30),ISNUMBER(I30)),IF(H30+I30&gt;0,2*H30*I30/(H30+I30),0),"-")</f>
        <v>78.7878787878788</v>
      </c>
      <c r="K30" s="6" t="n">
        <v>90</v>
      </c>
    </row>
    <row r="31" customFormat="false" ht="15" hidden="false" customHeight="false" outlineLevel="0" collapsed="false">
      <c r="A31" s="5" t="s">
        <v>26</v>
      </c>
      <c r="B31" s="5" t="s">
        <v>23</v>
      </c>
      <c r="C31" s="5" t="s">
        <v>18</v>
      </c>
      <c r="D31" s="5" t="s">
        <v>19</v>
      </c>
      <c r="E31" s="6" t="n">
        <v>46</v>
      </c>
      <c r="F31" s="6" t="n">
        <v>97</v>
      </c>
      <c r="G31" s="7" t="n">
        <f aca="false">IF(AND(ISNUMBER(E31),ISNUMBER(F31)),IF(E31+F31&gt;0,2*E31*F31/(E31+F31),0),"-")</f>
        <v>62.4055944055944</v>
      </c>
      <c r="H31" s="6" t="n">
        <v>44</v>
      </c>
      <c r="I31" s="6" t="n">
        <v>100</v>
      </c>
      <c r="J31" s="7" t="n">
        <f aca="false">IF(AND(ISNUMBER(H31),ISNUMBER(I31)),IF(H31+I31&gt;0,2*H31*I31/(H31+I31),0),"-")</f>
        <v>61.1111111111111</v>
      </c>
      <c r="K31" s="6" t="n">
        <v>90</v>
      </c>
    </row>
    <row r="32" customFormat="false" ht="15" hidden="false" customHeight="false" outlineLevel="0" collapsed="false">
      <c r="A32" s="5" t="s">
        <v>26</v>
      </c>
      <c r="B32" s="5" t="s">
        <v>23</v>
      </c>
      <c r="C32" s="5" t="s">
        <v>20</v>
      </c>
      <c r="D32" s="5" t="s">
        <v>21</v>
      </c>
      <c r="E32" s="6" t="n">
        <v>22</v>
      </c>
      <c r="F32" s="6" t="n">
        <v>82</v>
      </c>
      <c r="G32" s="7" t="n">
        <f aca="false">IF(AND(ISNUMBER(E32),ISNUMBER(F32)),IF(E32+F32&gt;0,2*E32*F32/(E32+F32),0),"-")</f>
        <v>34.6923076923077</v>
      </c>
      <c r="H32" s="6" t="n">
        <v>18</v>
      </c>
      <c r="I32" s="6" t="n">
        <v>92</v>
      </c>
      <c r="J32" s="7" t="n">
        <f aca="false">IF(AND(ISNUMBER(H32),ISNUMBER(I32)),IF(H32+I32&gt;0,2*H32*I32/(H32+I32),0),"-")</f>
        <v>30.1090909090909</v>
      </c>
      <c r="K32" s="6" t="n">
        <v>90</v>
      </c>
    </row>
    <row r="33" customFormat="false" ht="15" hidden="false" customHeight="false" outlineLevel="0" collapsed="false">
      <c r="A33" s="8" t="s">
        <v>27</v>
      </c>
      <c r="B33" s="8" t="s">
        <v>14</v>
      </c>
      <c r="C33" s="9" t="s">
        <v>15</v>
      </c>
      <c r="D33" s="9" t="s">
        <v>16</v>
      </c>
      <c r="E33" s="10" t="n">
        <v>89</v>
      </c>
      <c r="F33" s="10" t="n">
        <v>62</v>
      </c>
      <c r="G33" s="11" t="n">
        <f aca="false">IF(AND(ISNUMBER(E33),ISNUMBER(F33)),IF(E33+F33&gt;0,2*E33*F33/(E33+F33),0),"-")</f>
        <v>73.0860927152318</v>
      </c>
      <c r="H33" s="10" t="n">
        <v>96</v>
      </c>
      <c r="I33" s="10" t="n">
        <v>80</v>
      </c>
      <c r="J33" s="11" t="n">
        <f aca="false">IF(AND(ISNUMBER(H33),ISNUMBER(I33)),IF(H33+I33&gt;0,2*H33*I33/(H33+I33),0),"-")</f>
        <v>87.2727272727273</v>
      </c>
      <c r="K33" s="10" t="n">
        <v>4909</v>
      </c>
    </row>
    <row r="34" customFormat="false" ht="15" hidden="false" customHeight="false" outlineLevel="0" collapsed="false">
      <c r="A34" s="8" t="s">
        <v>27</v>
      </c>
      <c r="B34" s="8" t="s">
        <v>14</v>
      </c>
      <c r="C34" s="9" t="s">
        <v>17</v>
      </c>
      <c r="D34" s="9" t="s">
        <v>16</v>
      </c>
      <c r="E34" s="10" t="n">
        <v>89</v>
      </c>
      <c r="F34" s="10" t="n">
        <v>62</v>
      </c>
      <c r="G34" s="11" t="n">
        <f aca="false">IF(AND(ISNUMBER(E34),ISNUMBER(F34)),IF(E34+F34&gt;0,2*E34*F34/(E34+F34),0),"-")</f>
        <v>73.0860927152318</v>
      </c>
      <c r="H34" s="10" t="n">
        <v>95</v>
      </c>
      <c r="I34" s="10" t="n">
        <v>81</v>
      </c>
      <c r="J34" s="11" t="n">
        <f aca="false">IF(AND(ISNUMBER(H34),ISNUMBER(I34)),IF(H34+I34&gt;0,2*H34*I34/(H34+I34),0),"-")</f>
        <v>87.4431818181818</v>
      </c>
      <c r="K34" s="10" t="n">
        <v>4909</v>
      </c>
    </row>
    <row r="35" customFormat="false" ht="15" hidden="false" customHeight="false" outlineLevel="0" collapsed="false">
      <c r="A35" s="8" t="s">
        <v>27</v>
      </c>
      <c r="B35" s="8" t="s">
        <v>14</v>
      </c>
      <c r="C35" s="9" t="s">
        <v>18</v>
      </c>
      <c r="D35" s="9" t="s">
        <v>19</v>
      </c>
      <c r="E35" s="10" t="n">
        <v>87</v>
      </c>
      <c r="F35" s="10" t="n">
        <v>63</v>
      </c>
      <c r="G35" s="11" t="n">
        <f aca="false">IF(AND(ISNUMBER(E35),ISNUMBER(F35)),IF(E35+F35&gt;0,2*E35*F35/(E35+F35),0),"-")</f>
        <v>73.08</v>
      </c>
      <c r="H35" s="10" t="n">
        <v>94</v>
      </c>
      <c r="I35" s="10" t="n">
        <v>84</v>
      </c>
      <c r="J35" s="11" t="n">
        <f aca="false">IF(AND(ISNUMBER(H35),ISNUMBER(I35)),IF(H35+I35&gt;0,2*H35*I35/(H35+I35),0),"-")</f>
        <v>88.7191011235955</v>
      </c>
      <c r="K35" s="10" t="n">
        <v>4909</v>
      </c>
    </row>
    <row r="36" customFormat="false" ht="15" hidden="false" customHeight="false" outlineLevel="0" collapsed="false">
      <c r="A36" s="8" t="s">
        <v>27</v>
      </c>
      <c r="B36" s="8" t="s">
        <v>14</v>
      </c>
      <c r="C36" s="9" t="s">
        <v>20</v>
      </c>
      <c r="D36" s="9" t="s">
        <v>21</v>
      </c>
      <c r="E36" s="10" t="n">
        <v>83</v>
      </c>
      <c r="F36" s="10" t="n">
        <v>64</v>
      </c>
      <c r="G36" s="11" t="n">
        <f aca="false">IF(AND(ISNUMBER(E36),ISNUMBER(F36)),IF(E36+F36&gt;0,2*E36*F36/(E36+F36),0),"-")</f>
        <v>72.2721088435374</v>
      </c>
      <c r="H36" s="10" t="n">
        <v>91</v>
      </c>
      <c r="I36" s="10" t="n">
        <v>85</v>
      </c>
      <c r="J36" s="11" t="n">
        <f aca="false">IF(AND(ISNUMBER(H36),ISNUMBER(I36)),IF(H36+I36&gt;0,2*H36*I36/(H36+I36),0),"-")</f>
        <v>87.8977272727273</v>
      </c>
      <c r="K36" s="10" t="n">
        <v>4909</v>
      </c>
    </row>
    <row r="37" customFormat="false" ht="15" hidden="false" customHeight="false" outlineLevel="0" collapsed="false">
      <c r="A37" s="5" t="s">
        <v>27</v>
      </c>
      <c r="B37" s="5" t="s">
        <v>22</v>
      </c>
      <c r="C37" s="5" t="s">
        <v>15</v>
      </c>
      <c r="D37" s="5" t="s">
        <v>16</v>
      </c>
      <c r="E37" s="6" t="n">
        <v>57</v>
      </c>
      <c r="F37" s="6" t="n">
        <v>70</v>
      </c>
      <c r="G37" s="7" t="n">
        <f aca="false">IF(AND(ISNUMBER(E37),ISNUMBER(F37)),IF(E37+F37&gt;0,2*E37*F37/(E37+F37),0),"-")</f>
        <v>62.8346456692913</v>
      </c>
      <c r="H37" s="6" t="n">
        <v>87</v>
      </c>
      <c r="I37" s="6" t="n">
        <v>77</v>
      </c>
      <c r="J37" s="7" t="n">
        <f aca="false">IF(AND(ISNUMBER(H37),ISNUMBER(I37)),IF(H37+I37&gt;0,2*H37*I37/(H37+I37),0),"-")</f>
        <v>81.6951219512195</v>
      </c>
      <c r="K37" s="6" t="n">
        <v>4909</v>
      </c>
    </row>
    <row r="38" customFormat="false" ht="15" hidden="false" customHeight="false" outlineLevel="0" collapsed="false">
      <c r="A38" s="5" t="s">
        <v>27</v>
      </c>
      <c r="B38" s="5" t="s">
        <v>22</v>
      </c>
      <c r="C38" s="5" t="s">
        <v>17</v>
      </c>
      <c r="D38" s="5" t="s">
        <v>16</v>
      </c>
      <c r="E38" s="6" t="n">
        <v>58</v>
      </c>
      <c r="F38" s="6" t="n">
        <v>68</v>
      </c>
      <c r="G38" s="7" t="n">
        <f aca="false">IF(AND(ISNUMBER(E38),ISNUMBER(F38)),IF(E38+F38&gt;0,2*E38*F38/(E38+F38),0),"-")</f>
        <v>62.6031746031746</v>
      </c>
      <c r="H38" s="6" t="n">
        <v>87</v>
      </c>
      <c r="I38" s="6" t="n">
        <v>75</v>
      </c>
      <c r="J38" s="7" t="n">
        <f aca="false">IF(AND(ISNUMBER(H38),ISNUMBER(I38)),IF(H38+I38&gt;0,2*H38*I38/(H38+I38),0),"-")</f>
        <v>80.5555555555556</v>
      </c>
      <c r="K38" s="6" t="n">
        <v>4909</v>
      </c>
    </row>
    <row r="39" customFormat="false" ht="15" hidden="false" customHeight="false" outlineLevel="0" collapsed="false">
      <c r="A39" s="5" t="s">
        <v>27</v>
      </c>
      <c r="B39" s="5" t="s">
        <v>22</v>
      </c>
      <c r="C39" s="5" t="s">
        <v>18</v>
      </c>
      <c r="D39" s="5" t="s">
        <v>19</v>
      </c>
      <c r="E39" s="6" t="n">
        <v>59</v>
      </c>
      <c r="F39" s="6" t="n">
        <v>68</v>
      </c>
      <c r="G39" s="7" t="n">
        <f aca="false">IF(AND(ISNUMBER(E39),ISNUMBER(F39)),IF(E39+F39&gt;0,2*E39*F39/(E39+F39),0),"-")</f>
        <v>63.1811023622047</v>
      </c>
      <c r="H39" s="6" t="n">
        <v>85</v>
      </c>
      <c r="I39" s="6" t="n">
        <v>76</v>
      </c>
      <c r="J39" s="7" t="n">
        <f aca="false">IF(AND(ISNUMBER(H39),ISNUMBER(I39)),IF(H39+I39&gt;0,2*H39*I39/(H39+I39),0),"-")</f>
        <v>80.2484472049689</v>
      </c>
      <c r="K39" s="6" t="n">
        <v>4909</v>
      </c>
    </row>
    <row r="40" customFormat="false" ht="15" hidden="false" customHeight="false" outlineLevel="0" collapsed="false">
      <c r="A40" s="5" t="s">
        <v>27</v>
      </c>
      <c r="B40" s="5" t="s">
        <v>22</v>
      </c>
      <c r="C40" s="5" t="s">
        <v>20</v>
      </c>
      <c r="D40" s="5" t="s">
        <v>21</v>
      </c>
      <c r="E40" s="6" t="n">
        <v>60</v>
      </c>
      <c r="F40" s="6" t="n">
        <v>67</v>
      </c>
      <c r="G40" s="7" t="n">
        <f aca="false">IF(AND(ISNUMBER(E40),ISNUMBER(F40)),IF(E40+F40&gt;0,2*E40*F40/(E40+F40),0),"-")</f>
        <v>63.3070866141732</v>
      </c>
      <c r="H40" s="6" t="n">
        <v>82</v>
      </c>
      <c r="I40" s="6" t="n">
        <v>74</v>
      </c>
      <c r="J40" s="7" t="n">
        <f aca="false">IF(AND(ISNUMBER(H40),ISNUMBER(I40)),IF(H40+I40&gt;0,2*H40*I40/(H40+I40),0),"-")</f>
        <v>77.7948717948718</v>
      </c>
      <c r="K40" s="6" t="n">
        <v>4909</v>
      </c>
    </row>
    <row r="41" customFormat="false" ht="15" hidden="false" customHeight="false" outlineLevel="0" collapsed="false">
      <c r="A41" s="8" t="s">
        <v>27</v>
      </c>
      <c r="B41" s="8" t="s">
        <v>23</v>
      </c>
      <c r="C41" s="9" t="s">
        <v>15</v>
      </c>
      <c r="D41" s="9" t="s">
        <v>16</v>
      </c>
      <c r="E41" s="10" t="n">
        <v>57</v>
      </c>
      <c r="F41" s="10" t="n">
        <v>62</v>
      </c>
      <c r="G41" s="11" t="n">
        <f aca="false">IF(AND(ISNUMBER(E41),ISNUMBER(F41)),IF(E41+F41&gt;0,2*E41*F41/(E41+F41),0),"-")</f>
        <v>59.3949579831933</v>
      </c>
      <c r="H41" s="10" t="n">
        <v>80</v>
      </c>
      <c r="I41" s="10" t="n">
        <v>72</v>
      </c>
      <c r="J41" s="11" t="n">
        <f aca="false">IF(AND(ISNUMBER(H41),ISNUMBER(I41)),IF(H41+I41&gt;0,2*H41*I41/(H41+I41),0),"-")</f>
        <v>75.7894736842105</v>
      </c>
      <c r="K41" s="10" t="n">
        <v>4909</v>
      </c>
    </row>
    <row r="42" customFormat="false" ht="15" hidden="false" customHeight="false" outlineLevel="0" collapsed="false">
      <c r="A42" s="8" t="s">
        <v>27</v>
      </c>
      <c r="B42" s="8" t="s">
        <v>23</v>
      </c>
      <c r="C42" s="9" t="s">
        <v>17</v>
      </c>
      <c r="D42" s="9" t="s">
        <v>16</v>
      </c>
      <c r="E42" s="10" t="n">
        <v>57</v>
      </c>
      <c r="F42" s="10" t="n">
        <v>61</v>
      </c>
      <c r="G42" s="11" t="n">
        <f aca="false">IF(AND(ISNUMBER(E42),ISNUMBER(F42)),IF(E42+F42&gt;0,2*E42*F42/(E42+F42),0),"-")</f>
        <v>58.9322033898305</v>
      </c>
      <c r="H42" s="10" t="n">
        <v>80</v>
      </c>
      <c r="I42" s="10" t="n">
        <v>71</v>
      </c>
      <c r="J42" s="11" t="n">
        <f aca="false">IF(AND(ISNUMBER(H42),ISNUMBER(I42)),IF(H42+I42&gt;0,2*H42*I42/(H42+I42),0),"-")</f>
        <v>75.2317880794702</v>
      </c>
      <c r="K42" s="10" t="n">
        <v>4909</v>
      </c>
    </row>
    <row r="43" customFormat="false" ht="15" hidden="false" customHeight="false" outlineLevel="0" collapsed="false">
      <c r="A43" s="8" t="s">
        <v>27</v>
      </c>
      <c r="B43" s="8" t="s">
        <v>23</v>
      </c>
      <c r="C43" s="9" t="s">
        <v>18</v>
      </c>
      <c r="D43" s="9" t="s">
        <v>19</v>
      </c>
      <c r="E43" s="10" t="n">
        <v>56</v>
      </c>
      <c r="F43" s="10" t="n">
        <v>62</v>
      </c>
      <c r="G43" s="11" t="n">
        <f aca="false">IF(AND(ISNUMBER(E43),ISNUMBER(F43)),IF(E43+F43&gt;0,2*E43*F43/(E43+F43),0),"-")</f>
        <v>58.8474576271186</v>
      </c>
      <c r="H43" s="10" t="n">
        <v>77</v>
      </c>
      <c r="I43" s="10" t="n">
        <v>73</v>
      </c>
      <c r="J43" s="11" t="n">
        <f aca="false">IF(AND(ISNUMBER(H43),ISNUMBER(I43)),IF(H43+I43&gt;0,2*H43*I43/(H43+I43),0),"-")</f>
        <v>74.9466666666667</v>
      </c>
      <c r="K43" s="10" t="n">
        <v>4909</v>
      </c>
    </row>
    <row r="44" customFormat="false" ht="15" hidden="false" customHeight="false" outlineLevel="0" collapsed="false">
      <c r="A44" s="8" t="s">
        <v>27</v>
      </c>
      <c r="B44" s="8" t="s">
        <v>23</v>
      </c>
      <c r="C44" s="9" t="s">
        <v>20</v>
      </c>
      <c r="D44" s="9" t="s">
        <v>21</v>
      </c>
      <c r="E44" s="10" t="n">
        <v>58</v>
      </c>
      <c r="F44" s="10" t="n">
        <v>60</v>
      </c>
      <c r="G44" s="11" t="n">
        <f aca="false">IF(AND(ISNUMBER(E44),ISNUMBER(F44)),IF(E44+F44&gt;0,2*E44*F44/(E44+F44),0),"-")</f>
        <v>58.9830508474576</v>
      </c>
      <c r="H44" s="10" t="n">
        <v>76</v>
      </c>
      <c r="I44" s="10" t="n">
        <v>66</v>
      </c>
      <c r="J44" s="11" t="n">
        <f aca="false">IF(AND(ISNUMBER(H44),ISNUMBER(I44)),IF(H44+I44&gt;0,2*H44*I44/(H44+I44),0),"-")</f>
        <v>70.6478873239437</v>
      </c>
      <c r="K44" s="10" t="n">
        <v>4909</v>
      </c>
    </row>
    <row r="45" customFormat="false" ht="15" hidden="false" customHeight="false" outlineLevel="0" collapsed="false">
      <c r="A45" s="5" t="s">
        <v>27</v>
      </c>
      <c r="B45" s="5" t="s">
        <v>24</v>
      </c>
      <c r="C45" s="5" t="s">
        <v>15</v>
      </c>
      <c r="D45" s="5" t="s">
        <v>16</v>
      </c>
      <c r="E45" s="6" t="n">
        <v>75</v>
      </c>
      <c r="F45" s="6" t="n">
        <v>47</v>
      </c>
      <c r="G45" s="7" t="n">
        <f aca="false">IF(AND(ISNUMBER(E45),ISNUMBER(F45)),IF(E45+F45&gt;0,2*E45*F45/(E45+F45),0),"-")</f>
        <v>57.7868852459016</v>
      </c>
      <c r="H45" s="6" t="n">
        <v>87</v>
      </c>
      <c r="I45" s="6" t="n">
        <v>83</v>
      </c>
      <c r="J45" s="7" t="n">
        <f aca="false">IF(AND(ISNUMBER(H45),ISNUMBER(I45)),IF(H45+I45&gt;0,2*H45*I45/(H45+I45),0),"-")</f>
        <v>84.9529411764706</v>
      </c>
      <c r="K45" s="6" t="n">
        <v>4909</v>
      </c>
    </row>
    <row r="46" customFormat="false" ht="15" hidden="false" customHeight="false" outlineLevel="0" collapsed="false">
      <c r="A46" s="5" t="s">
        <v>27</v>
      </c>
      <c r="B46" s="5" t="s">
        <v>24</v>
      </c>
      <c r="C46" s="5" t="s">
        <v>17</v>
      </c>
      <c r="D46" s="5" t="s">
        <v>16</v>
      </c>
      <c r="E46" s="6" t="n">
        <v>77</v>
      </c>
      <c r="F46" s="6" t="n">
        <v>47</v>
      </c>
      <c r="G46" s="7" t="n">
        <f aca="false">IF(AND(ISNUMBER(E46),ISNUMBER(F46)),IF(E46+F46&gt;0,2*E46*F46/(E46+F46),0),"-")</f>
        <v>58.3709677419355</v>
      </c>
      <c r="H46" s="6" t="n">
        <v>88</v>
      </c>
      <c r="I46" s="6" t="n">
        <v>81</v>
      </c>
      <c r="J46" s="7" t="n">
        <f aca="false">IF(AND(ISNUMBER(H46),ISNUMBER(I46)),IF(H46+I46&gt;0,2*H46*I46/(H46+I46),0),"-")</f>
        <v>84.3550295857988</v>
      </c>
      <c r="K46" s="6" t="n">
        <v>4909</v>
      </c>
    </row>
    <row r="47" customFormat="false" ht="15" hidden="false" customHeight="false" outlineLevel="0" collapsed="false">
      <c r="A47" s="5" t="s">
        <v>27</v>
      </c>
      <c r="B47" s="5" t="s">
        <v>24</v>
      </c>
      <c r="C47" s="5" t="s">
        <v>18</v>
      </c>
      <c r="D47" s="5" t="s">
        <v>19</v>
      </c>
      <c r="E47" s="6" t="n">
        <v>78</v>
      </c>
      <c r="F47" s="6" t="n">
        <v>45</v>
      </c>
      <c r="G47" s="7" t="n">
        <f aca="false">IF(AND(ISNUMBER(E47),ISNUMBER(F47)),IF(E47+F47&gt;0,2*E47*F47/(E47+F47),0),"-")</f>
        <v>57.0731707317073</v>
      </c>
      <c r="H47" s="6" t="n">
        <v>89</v>
      </c>
      <c r="I47" s="6" t="n">
        <v>86</v>
      </c>
      <c r="J47" s="7" t="n">
        <f aca="false">IF(AND(ISNUMBER(H47),ISNUMBER(I47)),IF(H47+I47&gt;0,2*H47*I47/(H47+I47),0),"-")</f>
        <v>87.4742857142857</v>
      </c>
      <c r="K47" s="6" t="n">
        <v>4909</v>
      </c>
    </row>
    <row r="48" customFormat="false" ht="15" hidden="false" customHeight="false" outlineLevel="0" collapsed="false">
      <c r="A48" s="5" t="s">
        <v>27</v>
      </c>
      <c r="B48" s="5" t="s">
        <v>24</v>
      </c>
      <c r="C48" s="5" t="s">
        <v>20</v>
      </c>
      <c r="D48" s="5" t="s">
        <v>21</v>
      </c>
      <c r="E48" s="6" t="n">
        <v>78</v>
      </c>
      <c r="F48" s="6" t="n">
        <v>45</v>
      </c>
      <c r="G48" s="7" t="n">
        <f aca="false">IF(AND(ISNUMBER(E48),ISNUMBER(F48)),IF(E48+F48&gt;0,2*E48*F48/(E48+F48),0),"-")</f>
        <v>57.0731707317073</v>
      </c>
      <c r="H48" s="6" t="n">
        <v>88</v>
      </c>
      <c r="I48" s="6" t="n">
        <v>84</v>
      </c>
      <c r="J48" s="7" t="n">
        <f aca="false">IF(AND(ISNUMBER(H48),ISNUMBER(I48)),IF(H48+I48&gt;0,2*H48*I48/(H48+I48),0),"-")</f>
        <v>85.953488372093</v>
      </c>
      <c r="K48" s="6" t="n">
        <v>4909</v>
      </c>
    </row>
    <row r="51" customFormat="false" ht="15" hidden="false" customHeight="false" outlineLevel="0" collapsed="false">
      <c r="A51" s="2" t="s">
        <v>28</v>
      </c>
    </row>
    <row r="52" customFormat="false" ht="15" hidden="false" customHeight="false" outlineLevel="0" collapsed="false">
      <c r="A52" s="12" t="s">
        <v>29</v>
      </c>
    </row>
    <row r="53" customFormat="false" ht="15" hidden="false" customHeight="false" outlineLevel="0" collapsed="false">
      <c r="A53" s="4" t="s">
        <v>2</v>
      </c>
      <c r="B53" s="4" t="s">
        <v>4</v>
      </c>
      <c r="C53" s="4" t="s">
        <v>5</v>
      </c>
      <c r="D53" s="4" t="s">
        <v>30</v>
      </c>
      <c r="E53" s="4" t="s">
        <v>31</v>
      </c>
      <c r="F53" s="4" t="s">
        <v>32</v>
      </c>
      <c r="G53" s="4" t="s">
        <v>33</v>
      </c>
      <c r="H53" s="4" t="s">
        <v>34</v>
      </c>
      <c r="I53" s="4" t="s">
        <v>35</v>
      </c>
    </row>
    <row r="54" customFormat="false" ht="15" hidden="false" customHeight="false" outlineLevel="0" collapsed="false">
      <c r="A54" s="8" t="s">
        <v>36</v>
      </c>
      <c r="B54" s="9" t="s">
        <v>15</v>
      </c>
      <c r="C54" s="9" t="s">
        <v>16</v>
      </c>
      <c r="D54" s="13" t="n">
        <v>83.05</v>
      </c>
      <c r="E54" s="13" t="n">
        <v>82.63</v>
      </c>
      <c r="F54" s="13" t="n">
        <v>82.42</v>
      </c>
      <c r="G54" s="13" t="n">
        <v>82.69</v>
      </c>
      <c r="H54" s="13" t="n">
        <v>82.74</v>
      </c>
      <c r="I54" s="13" t="n">
        <v>82.32</v>
      </c>
    </row>
    <row r="55" customFormat="false" ht="15" hidden="false" customHeight="false" outlineLevel="0" collapsed="false">
      <c r="A55" s="8" t="s">
        <v>36</v>
      </c>
      <c r="B55" s="9" t="s">
        <v>17</v>
      </c>
      <c r="C55" s="9" t="s">
        <v>16</v>
      </c>
      <c r="D55" s="13" t="n">
        <v>83.01</v>
      </c>
      <c r="E55" s="13" t="n">
        <v>82.64</v>
      </c>
      <c r="F55" s="13" t="n">
        <v>82.62</v>
      </c>
      <c r="G55" s="13" t="n">
        <v>82.8</v>
      </c>
      <c r="H55" s="13" t="n">
        <v>83.03</v>
      </c>
      <c r="I55" s="13" t="n">
        <v>82.39</v>
      </c>
    </row>
    <row r="56" customFormat="false" ht="15" hidden="false" customHeight="false" outlineLevel="0" collapsed="false">
      <c r="A56" s="8" t="s">
        <v>36</v>
      </c>
      <c r="B56" s="9" t="s">
        <v>18</v>
      </c>
      <c r="C56" s="9" t="s">
        <v>19</v>
      </c>
      <c r="D56" s="13" t="n">
        <v>84.29</v>
      </c>
      <c r="E56" s="13" t="n">
        <v>83.46</v>
      </c>
      <c r="F56" s="13" t="n">
        <v>82.94</v>
      </c>
      <c r="G56" s="13" t="n">
        <v>82.81</v>
      </c>
      <c r="H56" s="13" t="n">
        <v>83.28</v>
      </c>
      <c r="I56" s="13" t="n">
        <v>82.55</v>
      </c>
    </row>
    <row r="57" customFormat="false" ht="15" hidden="false" customHeight="false" outlineLevel="0" collapsed="false">
      <c r="A57" s="8" t="s">
        <v>36</v>
      </c>
      <c r="B57" s="9" t="s">
        <v>20</v>
      </c>
      <c r="C57" s="9" t="s">
        <v>21</v>
      </c>
      <c r="D57" s="13" t="n">
        <v>83.27</v>
      </c>
      <c r="E57" s="13" t="n">
        <v>82.58</v>
      </c>
      <c r="F57" s="13" t="n">
        <v>81.83</v>
      </c>
      <c r="G57" s="13" t="n">
        <v>81.46</v>
      </c>
      <c r="H57" s="13" t="n">
        <v>81.99</v>
      </c>
      <c r="I57" s="13" t="n">
        <v>80.96</v>
      </c>
    </row>
    <row r="59" customFormat="false" ht="23.85" hidden="false" customHeight="false" outlineLevel="0" collapsed="false">
      <c r="A59" s="4" t="s">
        <v>2</v>
      </c>
      <c r="B59" s="4" t="s">
        <v>3</v>
      </c>
      <c r="C59" s="4" t="s">
        <v>4</v>
      </c>
      <c r="D59" s="4" t="s">
        <v>5</v>
      </c>
      <c r="E59" s="4" t="s">
        <v>37</v>
      </c>
      <c r="F59" s="4" t="s">
        <v>38</v>
      </c>
      <c r="G59" s="4" t="s">
        <v>39</v>
      </c>
      <c r="H59" s="4" t="s">
        <v>40</v>
      </c>
    </row>
    <row r="60" customFormat="false" ht="15" hidden="false" customHeight="false" outlineLevel="0" collapsed="false">
      <c r="A60" s="8" t="s">
        <v>36</v>
      </c>
      <c r="B60" s="8" t="s">
        <v>41</v>
      </c>
      <c r="C60" s="9" t="s">
        <v>15</v>
      </c>
      <c r="D60" s="9" t="s">
        <v>16</v>
      </c>
      <c r="E60" s="14" t="n">
        <v>83.03</v>
      </c>
      <c r="F60" s="14" t="n">
        <v>67.84</v>
      </c>
      <c r="G60" s="11" t="n">
        <f aca="false">IF(AND(ISNUMBER(E60),ISNUMBER(F60)),IF(E60+F60&gt;0,2*E60*F60/(E60+F60),0),"-")</f>
        <v>74.6703148405913</v>
      </c>
      <c r="H60" s="15" t="n">
        <v>1440000</v>
      </c>
    </row>
    <row r="61" customFormat="false" ht="15" hidden="false" customHeight="false" outlineLevel="0" collapsed="false">
      <c r="A61" s="8" t="s">
        <v>36</v>
      </c>
      <c r="B61" s="8" t="s">
        <v>41</v>
      </c>
      <c r="C61" s="9" t="s">
        <v>17</v>
      </c>
      <c r="D61" s="9" t="s">
        <v>16</v>
      </c>
      <c r="E61" s="14" t="n">
        <v>81.92</v>
      </c>
      <c r="F61" s="14" t="n">
        <v>67.22</v>
      </c>
      <c r="G61" s="11" t="n">
        <f aca="false">IF(AND(ISNUMBER(E61),ISNUMBER(F61)),IF(E61+F61&gt;0,2*E61*F61/(E61+F61),0),"-")</f>
        <v>73.8455464664074</v>
      </c>
      <c r="H61" s="15" t="n">
        <v>1440000</v>
      </c>
    </row>
    <row r="62" customFormat="false" ht="15" hidden="false" customHeight="false" outlineLevel="0" collapsed="false">
      <c r="A62" s="8" t="s">
        <v>36</v>
      </c>
      <c r="B62" s="8" t="s">
        <v>41</v>
      </c>
      <c r="C62" s="9" t="s">
        <v>18</v>
      </c>
      <c r="D62" s="9" t="s">
        <v>19</v>
      </c>
      <c r="E62" s="14" t="n">
        <v>80.72</v>
      </c>
      <c r="F62" s="14" t="n">
        <v>70.2</v>
      </c>
      <c r="G62" s="11" t="n">
        <f aca="false">IF(AND(ISNUMBER(E62),ISNUMBER(F62)),IF(E62+F62&gt;0,2*E62*F62/(E62+F62),0),"-")</f>
        <v>75.0933474688577</v>
      </c>
      <c r="H62" s="15" t="n">
        <v>1440000</v>
      </c>
    </row>
    <row r="63" customFormat="false" ht="15" hidden="false" customHeight="false" outlineLevel="0" collapsed="false">
      <c r="A63" s="8" t="s">
        <v>36</v>
      </c>
      <c r="B63" s="8" t="s">
        <v>41</v>
      </c>
      <c r="C63" s="9" t="s">
        <v>20</v>
      </c>
      <c r="D63" s="9" t="s">
        <v>21</v>
      </c>
      <c r="E63" s="14" t="n">
        <v>80.92</v>
      </c>
      <c r="F63" s="14" t="n">
        <v>66.37</v>
      </c>
      <c r="G63" s="11" t="n">
        <f aca="false">IF(AND(ISNUMBER(E63),ISNUMBER(F63)),IF(E63+F63&gt;0,2*E63*F63/(E63+F63),0),"-")</f>
        <v>72.926341231584</v>
      </c>
      <c r="H63" s="15" t="n">
        <v>1440000</v>
      </c>
    </row>
    <row r="64" customFormat="false" ht="15" hidden="false" customHeight="false" outlineLevel="0" collapsed="false">
      <c r="A64" s="8" t="s">
        <v>36</v>
      </c>
      <c r="B64" s="8" t="s">
        <v>14</v>
      </c>
      <c r="C64" s="9" t="s">
        <v>15</v>
      </c>
      <c r="D64" s="9" t="s">
        <v>16</v>
      </c>
      <c r="E64" s="14" t="n">
        <v>91.9</v>
      </c>
      <c r="F64" s="14" t="n">
        <v>92.16</v>
      </c>
      <c r="G64" s="11" t="n">
        <f aca="false">IF(AND(ISNUMBER(E64),ISNUMBER(F64)),IF(E64+F64&gt;0,2*E64*F64/(E64+F64),0),"-")</f>
        <v>92.0298163642291</v>
      </c>
      <c r="H64" s="15" t="n">
        <v>3677442</v>
      </c>
    </row>
    <row r="65" customFormat="false" ht="15" hidden="false" customHeight="false" outlineLevel="0" collapsed="false">
      <c r="A65" s="8" t="s">
        <v>36</v>
      </c>
      <c r="B65" s="8" t="s">
        <v>14</v>
      </c>
      <c r="C65" s="9" t="s">
        <v>17</v>
      </c>
      <c r="D65" s="9" t="s">
        <v>16</v>
      </c>
      <c r="E65" s="14" t="n">
        <v>91.22</v>
      </c>
      <c r="F65" s="14" t="n">
        <v>92.59</v>
      </c>
      <c r="G65" s="11" t="n">
        <f aca="false">IF(AND(ISNUMBER(E65),ISNUMBER(F65)),IF(E65+F65&gt;0,2*E65*F65/(E65+F65),0),"-")</f>
        <v>91.899894456232</v>
      </c>
      <c r="H65" s="15" t="n">
        <v>3677442</v>
      </c>
    </row>
    <row r="66" customFormat="false" ht="15" hidden="false" customHeight="false" outlineLevel="0" collapsed="false">
      <c r="A66" s="8" t="s">
        <v>36</v>
      </c>
      <c r="B66" s="8" t="s">
        <v>14</v>
      </c>
      <c r="C66" s="9" t="s">
        <v>18</v>
      </c>
      <c r="D66" s="9" t="s">
        <v>19</v>
      </c>
      <c r="E66" s="14" t="n">
        <v>91.34</v>
      </c>
      <c r="F66" s="14" t="n">
        <v>94.29</v>
      </c>
      <c r="G66" s="11" t="n">
        <f aca="false">IF(AND(ISNUMBER(E66),ISNUMBER(F66)),IF(E66+F66&gt;0,2*E66*F66/(E66+F66),0),"-")</f>
        <v>92.7915595539514</v>
      </c>
      <c r="H66" s="15" t="n">
        <v>3677442</v>
      </c>
    </row>
    <row r="67" customFormat="false" ht="15" hidden="false" customHeight="false" outlineLevel="0" collapsed="false">
      <c r="A67" s="8" t="s">
        <v>36</v>
      </c>
      <c r="B67" s="8" t="s">
        <v>14</v>
      </c>
      <c r="C67" s="9" t="s">
        <v>20</v>
      </c>
      <c r="D67" s="9" t="s">
        <v>21</v>
      </c>
      <c r="E67" s="14" t="n">
        <v>87.61</v>
      </c>
      <c r="F67" s="14" t="n">
        <v>95.29</v>
      </c>
      <c r="G67" s="11" t="n">
        <f aca="false">IF(AND(ISNUMBER(E67),ISNUMBER(F67)),IF(E67+F67&gt;0,2*E67*F67/(E67+F67),0),"-")</f>
        <v>91.2887577911427</v>
      </c>
      <c r="H67" s="15" t="n">
        <v>3677442</v>
      </c>
    </row>
    <row r="68" customFormat="false" ht="15" hidden="false" customHeight="false" outlineLevel="0" collapsed="false">
      <c r="A68" s="8" t="s">
        <v>36</v>
      </c>
      <c r="B68" s="8" t="s">
        <v>22</v>
      </c>
      <c r="C68" s="9" t="s">
        <v>15</v>
      </c>
      <c r="D68" s="9" t="s">
        <v>16</v>
      </c>
      <c r="E68" s="14" t="n">
        <v>73.07</v>
      </c>
      <c r="F68" s="14" t="n">
        <v>87.97</v>
      </c>
      <c r="G68" s="11" t="n">
        <f aca="false">IF(AND(ISNUMBER(E68),ISNUMBER(F68)),IF(E68+F68&gt;0,2*E68*F68/(E68+F68),0),"-")</f>
        <v>79.8306992051664</v>
      </c>
      <c r="H68" s="15" t="n">
        <v>2057610</v>
      </c>
    </row>
    <row r="69" customFormat="false" ht="15" hidden="false" customHeight="false" outlineLevel="0" collapsed="false">
      <c r="A69" s="8" t="s">
        <v>36</v>
      </c>
      <c r="B69" s="8" t="s">
        <v>22</v>
      </c>
      <c r="C69" s="9" t="s">
        <v>17</v>
      </c>
      <c r="D69" s="9" t="s">
        <v>16</v>
      </c>
      <c r="E69" s="14" t="n">
        <v>74.02</v>
      </c>
      <c r="F69" s="14" t="n">
        <v>86.63</v>
      </c>
      <c r="G69" s="11" t="n">
        <f aca="false">IF(AND(ISNUMBER(E69),ISNUMBER(F69)),IF(E69+F69&gt;0,2*E69*F69/(E69+F69),0),"-")</f>
        <v>79.8300977279801</v>
      </c>
      <c r="H69" s="15" t="n">
        <v>2057610</v>
      </c>
    </row>
    <row r="70" customFormat="false" ht="15" hidden="false" customHeight="false" outlineLevel="0" collapsed="false">
      <c r="A70" s="8" t="s">
        <v>36</v>
      </c>
      <c r="B70" s="8" t="s">
        <v>22</v>
      </c>
      <c r="C70" s="9" t="s">
        <v>18</v>
      </c>
      <c r="D70" s="9" t="s">
        <v>19</v>
      </c>
      <c r="E70" s="14" t="n">
        <v>78.03</v>
      </c>
      <c r="F70" s="14" t="n">
        <v>87.89</v>
      </c>
      <c r="G70" s="11" t="n">
        <f aca="false">IF(AND(ISNUMBER(E70),ISNUMBER(F70)),IF(E70+F70&gt;0,2*E70*F70/(E70+F70),0),"-")</f>
        <v>82.6670286885246</v>
      </c>
      <c r="H70" s="15" t="n">
        <v>2057610</v>
      </c>
    </row>
    <row r="71" customFormat="false" ht="15" hidden="false" customHeight="false" outlineLevel="0" collapsed="false">
      <c r="A71" s="8" t="s">
        <v>36</v>
      </c>
      <c r="B71" s="8" t="s">
        <v>22</v>
      </c>
      <c r="C71" s="9" t="s">
        <v>20</v>
      </c>
      <c r="D71" s="9" t="s">
        <v>21</v>
      </c>
      <c r="E71" s="14" t="n">
        <v>78.64</v>
      </c>
      <c r="F71" s="14" t="n">
        <v>86.05</v>
      </c>
      <c r="G71" s="11" t="n">
        <f aca="false">IF(AND(ISNUMBER(E71),ISNUMBER(F71)),IF(E71+F71&gt;0,2*E71*F71/(E71+F71),0),"-")</f>
        <v>82.1782986216528</v>
      </c>
      <c r="H71" s="15" t="n">
        <v>2057610</v>
      </c>
    </row>
    <row r="72" customFormat="false" ht="15" hidden="false" customHeight="false" outlineLevel="0" collapsed="false">
      <c r="A72" s="8" t="s">
        <v>36</v>
      </c>
      <c r="B72" s="8" t="s">
        <v>23</v>
      </c>
      <c r="C72" s="9" t="s">
        <v>15</v>
      </c>
      <c r="D72" s="9" t="s">
        <v>16</v>
      </c>
      <c r="E72" s="14" t="n">
        <v>77.9</v>
      </c>
      <c r="F72" s="14" t="n">
        <v>78.87</v>
      </c>
      <c r="G72" s="11" t="n">
        <f aca="false">IF(AND(ISNUMBER(E72),ISNUMBER(F72)),IF(E72+F72&gt;0,2*E72*F72/(E72+F72),0),"-")</f>
        <v>78.381999106972</v>
      </c>
      <c r="H72" s="15" t="n">
        <v>405941</v>
      </c>
    </row>
    <row r="73" customFormat="false" ht="15" hidden="false" customHeight="false" outlineLevel="0" collapsed="false">
      <c r="A73" s="8" t="s">
        <v>36</v>
      </c>
      <c r="B73" s="8" t="s">
        <v>23</v>
      </c>
      <c r="C73" s="9" t="s">
        <v>17</v>
      </c>
      <c r="D73" s="9" t="s">
        <v>16</v>
      </c>
      <c r="E73" s="14" t="n">
        <v>77.97</v>
      </c>
      <c r="F73" s="14" t="n">
        <v>81.1</v>
      </c>
      <c r="G73" s="11" t="n">
        <f aca="false">IF(AND(ISNUMBER(E73),ISNUMBER(F73)),IF(E73+F73&gt;0,2*E73*F73/(E73+F73),0),"-")</f>
        <v>79.5042056956057</v>
      </c>
      <c r="H73" s="15" t="n">
        <v>405941</v>
      </c>
    </row>
    <row r="74" customFormat="false" ht="15" hidden="false" customHeight="false" outlineLevel="0" collapsed="false">
      <c r="A74" s="8" t="s">
        <v>36</v>
      </c>
      <c r="B74" s="8" t="s">
        <v>23</v>
      </c>
      <c r="C74" s="9" t="s">
        <v>18</v>
      </c>
      <c r="D74" s="9" t="s">
        <v>19</v>
      </c>
      <c r="E74" s="14" t="n">
        <v>82.45</v>
      </c>
      <c r="F74" s="14" t="n">
        <v>78.81</v>
      </c>
      <c r="G74" s="11" t="n">
        <f aca="false">IF(AND(ISNUMBER(E74),ISNUMBER(F74)),IF(E74+F74&gt;0,2*E74*F74/(E74+F74),0),"-")</f>
        <v>80.5889185166812</v>
      </c>
      <c r="H74" s="15" t="n">
        <v>405941</v>
      </c>
    </row>
    <row r="75" customFormat="false" ht="15" hidden="false" customHeight="false" outlineLevel="0" collapsed="false">
      <c r="A75" s="8" t="s">
        <v>36</v>
      </c>
      <c r="B75" s="8" t="s">
        <v>23</v>
      </c>
      <c r="C75" s="9" t="s">
        <v>20</v>
      </c>
      <c r="D75" s="9" t="s">
        <v>21</v>
      </c>
      <c r="E75" s="14" t="n">
        <v>84.06</v>
      </c>
      <c r="F75" s="14" t="n">
        <v>77.2</v>
      </c>
      <c r="G75" s="11" t="n">
        <f aca="false">IF(AND(ISNUMBER(E75),ISNUMBER(F75)),IF(E75+F75&gt;0,2*E75*F75/(E75+F75),0),"-")</f>
        <v>80.484087808508</v>
      </c>
      <c r="H75" s="15" t="n">
        <v>405941</v>
      </c>
    </row>
    <row r="76" customFormat="false" ht="15" hidden="false" customHeight="false" outlineLevel="0" collapsed="false">
      <c r="A76" s="8" t="s">
        <v>36</v>
      </c>
      <c r="B76" s="8" t="s">
        <v>24</v>
      </c>
      <c r="C76" s="9" t="s">
        <v>15</v>
      </c>
      <c r="D76" s="9" t="s">
        <v>16</v>
      </c>
      <c r="E76" s="14" t="n">
        <v>91.6</v>
      </c>
      <c r="F76" s="14" t="n">
        <v>89.08</v>
      </c>
      <c r="G76" s="11" t="n">
        <f aca="false">IF(AND(ISNUMBER(E76),ISNUMBER(F76)),IF(E76+F76&gt;0,2*E76*F76/(E76+F76),0),"-")</f>
        <v>90.3224263891964</v>
      </c>
      <c r="H76" s="15" t="n">
        <v>1460257</v>
      </c>
    </row>
    <row r="77" customFormat="false" ht="15" hidden="false" customHeight="false" outlineLevel="0" collapsed="false">
      <c r="A77" s="8" t="s">
        <v>36</v>
      </c>
      <c r="B77" s="8" t="s">
        <v>24</v>
      </c>
      <c r="C77" s="9" t="s">
        <v>17</v>
      </c>
      <c r="D77" s="9" t="s">
        <v>16</v>
      </c>
      <c r="E77" s="14" t="n">
        <v>91.67</v>
      </c>
      <c r="F77" s="14" t="n">
        <v>88.35</v>
      </c>
      <c r="G77" s="11" t="n">
        <f aca="false">IF(AND(ISNUMBER(E77),ISNUMBER(F77)),IF(E77+F77&gt;0,2*E77*F77/(E77+F77),0),"-")</f>
        <v>89.9793856238196</v>
      </c>
      <c r="H77" s="15" t="n">
        <v>1460257</v>
      </c>
    </row>
    <row r="78" customFormat="false" ht="15" hidden="false" customHeight="false" outlineLevel="0" collapsed="false">
      <c r="A78" s="8" t="s">
        <v>36</v>
      </c>
      <c r="B78" s="8" t="s">
        <v>24</v>
      </c>
      <c r="C78" s="9" t="s">
        <v>18</v>
      </c>
      <c r="D78" s="9" t="s">
        <v>19</v>
      </c>
      <c r="E78" s="14" t="n">
        <v>93.75</v>
      </c>
      <c r="F78" s="14" t="n">
        <v>87.09</v>
      </c>
      <c r="G78" s="11" t="n">
        <f aca="false">IF(AND(ISNUMBER(E78),ISNUMBER(F78)),IF(E78+F78&gt;0,2*E78*F78/(E78+F78),0),"-")</f>
        <v>90.2973623092236</v>
      </c>
      <c r="H78" s="15" t="n">
        <v>1460257</v>
      </c>
    </row>
    <row r="79" customFormat="false" ht="15" hidden="false" customHeight="false" outlineLevel="0" collapsed="false">
      <c r="A79" s="8" t="s">
        <v>36</v>
      </c>
      <c r="B79" s="8" t="s">
        <v>24</v>
      </c>
      <c r="C79" s="9" t="s">
        <v>20</v>
      </c>
      <c r="D79" s="9" t="s">
        <v>21</v>
      </c>
      <c r="E79" s="14" t="n">
        <v>93.19</v>
      </c>
      <c r="F79" s="14" t="n">
        <v>86</v>
      </c>
      <c r="G79" s="11" t="n">
        <f aca="false">IF(AND(ISNUMBER(E79),ISNUMBER(F79)),IF(E79+F79&gt;0,2*E79*F79/(E79+F79),0),"-")</f>
        <v>89.4507505999219</v>
      </c>
      <c r="H79" s="15" t="n">
        <v>1460257</v>
      </c>
    </row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2:L2"/>
  </mergeCells>
  <conditionalFormatting sqref="G5:G8">
    <cfRule type="expression" priority="2" aboveAverage="0" equalAverage="0" bottom="0" percent="0" rank="0" text="" dxfId="0">
      <formula>AND(ISNUMBER(#REF!),#REF!=MAX($G$5:$G$8))</formula>
    </cfRule>
  </conditionalFormatting>
  <conditionalFormatting sqref="J5:J8">
    <cfRule type="expression" priority="3" aboveAverage="0" equalAverage="0" bottom="0" percent="0" rank="0" text="" dxfId="0">
      <formula>AND(ISNUMBER(#REF!),#REF!=MAX($J$5:$J$8))</formula>
    </cfRule>
  </conditionalFormatting>
  <conditionalFormatting sqref="G9:G12">
    <cfRule type="expression" priority="4" aboveAverage="0" equalAverage="0" bottom="0" percent="0" rank="0" text="" dxfId="0">
      <formula>AND(ISNUMBER(#REF!),#REF!=MAX($G$9:$G$12))</formula>
    </cfRule>
  </conditionalFormatting>
  <conditionalFormatting sqref="J9:J12">
    <cfRule type="expression" priority="5" aboveAverage="0" equalAverage="0" bottom="0" percent="0" rank="0" text="" dxfId="0">
      <formula>AND(ISNUMBER(#REF!),#REF!=MAX($J$9:$J$12))</formula>
    </cfRule>
  </conditionalFormatting>
  <conditionalFormatting sqref="G13:G16">
    <cfRule type="expression" priority="6" aboveAverage="0" equalAverage="0" bottom="0" percent="0" rank="0" text="" dxfId="0">
      <formula>AND(ISNUMBER(#REF!),#REF!=MAX($G$13:$G$16))</formula>
    </cfRule>
  </conditionalFormatting>
  <conditionalFormatting sqref="J13:J16">
    <cfRule type="expression" priority="7" aboveAverage="0" equalAverage="0" bottom="0" percent="0" rank="0" text="" dxfId="0">
      <formula>AND(ISNUMBER(#REF!),#REF!=MAX($J$13:$J$16))</formula>
    </cfRule>
  </conditionalFormatting>
  <conditionalFormatting sqref="G17:G20">
    <cfRule type="expression" priority="8" aboveAverage="0" equalAverage="0" bottom="0" percent="0" rank="0" text="" dxfId="0">
      <formula>AND(ISNUMBER(#REF!),#REF!=MAX($G$17:$G$20))</formula>
    </cfRule>
  </conditionalFormatting>
  <conditionalFormatting sqref="J17:J20">
    <cfRule type="expression" priority="9" aboveAverage="0" equalAverage="0" bottom="0" percent="0" rank="0" text="" dxfId="0">
      <formula>AND(ISNUMBER(#REF!),#REF!=MAX($J$17:$J$20))</formula>
    </cfRule>
  </conditionalFormatting>
  <conditionalFormatting sqref="G21:G24">
    <cfRule type="expression" priority="10" aboveAverage="0" equalAverage="0" bottom="0" percent="0" rank="0" text="" dxfId="0">
      <formula>AND(ISNUMBER(#REF!),#REF!=MAX($G$21:$G$24))</formula>
    </cfRule>
  </conditionalFormatting>
  <conditionalFormatting sqref="J21:J24">
    <cfRule type="expression" priority="11" aboveAverage="0" equalAverage="0" bottom="0" percent="0" rank="0" text="" dxfId="0">
      <formula>AND(ISNUMBER(#REF!),#REF!=MAX($J$21:$J$24))</formula>
    </cfRule>
  </conditionalFormatting>
  <conditionalFormatting sqref="G25:G28">
    <cfRule type="expression" priority="12" aboveAverage="0" equalAverage="0" bottom="0" percent="0" rank="0" text="" dxfId="0">
      <formula>AND(ISNUMBER(#REF!),#REF!=MAX($G$25:$G$28))</formula>
    </cfRule>
  </conditionalFormatting>
  <conditionalFormatting sqref="J25:J28">
    <cfRule type="expression" priority="13" aboveAverage="0" equalAverage="0" bottom="0" percent="0" rank="0" text="" dxfId="0">
      <formula>AND(ISNUMBER(#REF!),#REF!=MAX($J$25:$J$28))</formula>
    </cfRule>
  </conditionalFormatting>
  <conditionalFormatting sqref="G29:G32">
    <cfRule type="expression" priority="14" aboveAverage="0" equalAverage="0" bottom="0" percent="0" rank="0" text="" dxfId="0">
      <formula>AND(ISNUMBER(#REF!),#REF!=MAX($G$29:$G$32))</formula>
    </cfRule>
  </conditionalFormatting>
  <conditionalFormatting sqref="J29:J32">
    <cfRule type="expression" priority="15" aboveAverage="0" equalAverage="0" bottom="0" percent="0" rank="0" text="" dxfId="0">
      <formula>AND(ISNUMBER(#REF!),#REF!=MAX($J$29:$J$32))</formula>
    </cfRule>
  </conditionalFormatting>
  <conditionalFormatting sqref="G33:G36">
    <cfRule type="expression" priority="16" aboveAverage="0" equalAverage="0" bottom="0" percent="0" rank="0" text="" dxfId="0">
      <formula>AND(ISNUMBER(#REF!),#REF!=MAX($G$33:$G$36))</formula>
    </cfRule>
  </conditionalFormatting>
  <conditionalFormatting sqref="J33:J36">
    <cfRule type="expression" priority="17" aboveAverage="0" equalAverage="0" bottom="0" percent="0" rank="0" text="" dxfId="0">
      <formula>AND(ISNUMBER(#REF!),#REF!=MAX($J$33:$J$36))</formula>
    </cfRule>
  </conditionalFormatting>
  <conditionalFormatting sqref="G37:G40">
    <cfRule type="expression" priority="18" aboveAverage="0" equalAverage="0" bottom="0" percent="0" rank="0" text="" dxfId="0">
      <formula>AND(ISNUMBER(#REF!),#REF!=MAX($G$37:$G$40))</formula>
    </cfRule>
  </conditionalFormatting>
  <conditionalFormatting sqref="J37:J40">
    <cfRule type="expression" priority="19" aboveAverage="0" equalAverage="0" bottom="0" percent="0" rank="0" text="" dxfId="0">
      <formula>AND(ISNUMBER(#REF!),#REF!=MAX($J$37:$J$40))</formula>
    </cfRule>
  </conditionalFormatting>
  <conditionalFormatting sqref="G41:G44">
    <cfRule type="expression" priority="20" aboveAverage="0" equalAverage="0" bottom="0" percent="0" rank="0" text="" dxfId="0">
      <formula>AND(ISNUMBER(#REF!),#REF!=MAX($G$41:$G$44))</formula>
    </cfRule>
  </conditionalFormatting>
  <conditionalFormatting sqref="J41:J44">
    <cfRule type="expression" priority="21" aboveAverage="0" equalAverage="0" bottom="0" percent="0" rank="0" text="" dxfId="0">
      <formula>AND(ISNUMBER(#REF!),#REF!=MAX($J$41:$J$44))</formula>
    </cfRule>
  </conditionalFormatting>
  <conditionalFormatting sqref="G45:G48">
    <cfRule type="expression" priority="22" aboveAverage="0" equalAverage="0" bottom="0" percent="0" rank="0" text="" dxfId="0">
      <formula>AND(ISNUMBER(#REF!),#REF!=MAX($G$45:$G$48))</formula>
    </cfRule>
  </conditionalFormatting>
  <conditionalFormatting sqref="J45:J48">
    <cfRule type="expression" priority="23" aboveAverage="0" equalAverage="0" bottom="0" percent="0" rank="0" text="" dxfId="0">
      <formula>AND(ISNUMBER(#REF!),#REF!=MAX($J$45:$J$48))</formula>
    </cfRule>
  </conditionalFormatting>
  <conditionalFormatting sqref="D54:D57">
    <cfRule type="expression" priority="24" aboveAverage="0" equalAverage="0" bottom="0" percent="0" rank="0" text="" dxfId="0">
      <formula>#REF!=MAX($D$54:$D$57)</formula>
    </cfRule>
  </conditionalFormatting>
  <conditionalFormatting sqref="E54:E57">
    <cfRule type="expression" priority="25" aboveAverage="0" equalAverage="0" bottom="0" percent="0" rank="0" text="" dxfId="0">
      <formula>#REF!=MAX($E$54:$E$57)</formula>
    </cfRule>
  </conditionalFormatting>
  <conditionalFormatting sqref="F54:F57">
    <cfRule type="expression" priority="26" aboveAverage="0" equalAverage="0" bottom="0" percent="0" rank="0" text="" dxfId="0">
      <formula>#REF!=MAX($F$54:$F$57)</formula>
    </cfRule>
  </conditionalFormatting>
  <conditionalFormatting sqref="G54:G57">
    <cfRule type="expression" priority="27" aboveAverage="0" equalAverage="0" bottom="0" percent="0" rank="0" text="" dxfId="0">
      <formula>#REF!=MAX($G$54:$G$57)</formula>
    </cfRule>
  </conditionalFormatting>
  <conditionalFormatting sqref="H54:H57">
    <cfRule type="expression" priority="28" aboveAverage="0" equalAverage="0" bottom="0" percent="0" rank="0" text="" dxfId="0">
      <formula>#REF!=MAX($H$54:$H$57)</formula>
    </cfRule>
  </conditionalFormatting>
  <conditionalFormatting sqref="I54:I57">
    <cfRule type="expression" priority="29" aboveAverage="0" equalAverage="0" bottom="0" percent="0" rank="0" text="" dxfId="0">
      <formula>#REF!=MAX($I$54:$I$57)</formula>
    </cfRule>
  </conditionalFormatting>
  <conditionalFormatting sqref="G60:G63">
    <cfRule type="expression" priority="30" aboveAverage="0" equalAverage="0" bottom="0" percent="0" rank="0" text="" dxfId="0">
      <formula>#REF!=MAX($G$60:$G$63)</formula>
    </cfRule>
  </conditionalFormatting>
  <conditionalFormatting sqref="G64:G67">
    <cfRule type="expression" priority="31" aboveAverage="0" equalAverage="0" bottom="0" percent="0" rank="0" text="" dxfId="0">
      <formula>#REF!=MAX($G$64:$G$67)</formula>
    </cfRule>
  </conditionalFormatting>
  <conditionalFormatting sqref="G68:G71">
    <cfRule type="expression" priority="32" aboveAverage="0" equalAverage="0" bottom="0" percent="0" rank="0" text="" dxfId="0">
      <formula>#REF!=MAX($G$68:$G$71)</formula>
    </cfRule>
  </conditionalFormatting>
  <conditionalFormatting sqref="G72:G75">
    <cfRule type="expression" priority="33" aboveAverage="0" equalAverage="0" bottom="0" percent="0" rank="0" text="" dxfId="0">
      <formula>#REF!=MAX($G$72:$G$75)</formula>
    </cfRule>
  </conditionalFormatting>
  <conditionalFormatting sqref="G76:G79">
    <cfRule type="expression" priority="34" aboveAverage="0" equalAverage="0" bottom="0" percent="0" rank="0" text="" dxfId="0">
      <formula>#REF!=MAX($G$76:$G$79)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F17" activeCellId="0" sqref="F1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6" width="10"/>
    <col collapsed="false" customWidth="true" hidden="false" outlineLevel="0" max="2" min="2" style="16" width="34"/>
    <col collapsed="false" customWidth="true" hidden="false" outlineLevel="0" max="13" min="3" style="16" width="9"/>
    <col collapsed="false" customWidth="false" hidden="false" outlineLevel="0" max="16381" min="14" style="17" width="8.59"/>
    <col collapsed="false" customWidth="true" hidden="false" outlineLevel="0" max="16384" min="16382" style="17" width="10.16"/>
  </cols>
  <sheetData>
    <row r="1" customFormat="false" ht="15" hidden="false" customHeight="false" outlineLevel="0" collapsed="false">
      <c r="A1" s="18" t="s">
        <v>42</v>
      </c>
    </row>
    <row r="3" customFormat="false" ht="15" hidden="false" customHeight="false" outlineLevel="0" collapsed="false">
      <c r="A3" s="19" t="s">
        <v>2</v>
      </c>
      <c r="B3" s="19" t="s">
        <v>4</v>
      </c>
      <c r="C3" s="19" t="s">
        <v>5</v>
      </c>
      <c r="D3" s="19" t="s">
        <v>43</v>
      </c>
      <c r="E3" s="19" t="s">
        <v>44</v>
      </c>
      <c r="F3" s="19" t="s">
        <v>45</v>
      </c>
      <c r="G3" s="19" t="s">
        <v>46</v>
      </c>
      <c r="H3" s="19" t="s">
        <v>47</v>
      </c>
      <c r="I3" s="19" t="s">
        <v>48</v>
      </c>
      <c r="J3" s="19" t="s">
        <v>49</v>
      </c>
      <c r="K3" s="19" t="s">
        <v>50</v>
      </c>
      <c r="L3" s="19" t="s">
        <v>51</v>
      </c>
      <c r="M3" s="19" t="s">
        <v>12</v>
      </c>
    </row>
    <row r="4" customFormat="false" ht="15" hidden="false" customHeight="false" outlineLevel="0" collapsed="false">
      <c r="A4" s="20" t="s">
        <v>13</v>
      </c>
      <c r="B4" s="20" t="s">
        <v>15</v>
      </c>
      <c r="C4" s="20" t="s">
        <v>16</v>
      </c>
      <c r="D4" s="21" t="n">
        <v>99.96</v>
      </c>
      <c r="E4" s="21" t="n">
        <v>99.96</v>
      </c>
      <c r="F4" s="22" t="n">
        <f aca="false">IF(AND(ISNUMBER(D4),ISNUMBER(E4)),IF(D4+E4&gt;0,2*D4*E4/(D4+E4),0),"-")</f>
        <v>99.96</v>
      </c>
      <c r="G4" s="21" t="n">
        <v>96.88</v>
      </c>
      <c r="H4" s="21" t="n">
        <v>93.17</v>
      </c>
      <c r="I4" s="22" t="n">
        <f aca="false">IF(AND(ISNUMBER(G4),ISNUMBER(H4)),IF(G4+H4&gt;0,2*G4*H4/(G4+H4),0),"-")</f>
        <v>94.988788213628</v>
      </c>
      <c r="J4" s="23" t="n">
        <v>57.6</v>
      </c>
      <c r="K4" s="23" t="n">
        <v>63.55</v>
      </c>
      <c r="L4" s="24" t="n">
        <f aca="false">IF(AND(ISNUMBER(J4),ISNUMBER(K4)),IF(J4+K4&gt;0,2*J4*K4/(J4+K4),0),"-")</f>
        <v>60.4288898060256</v>
      </c>
      <c r="M4" s="25" t="n">
        <v>44</v>
      </c>
    </row>
    <row r="5" customFormat="false" ht="15" hidden="false" customHeight="false" outlineLevel="0" collapsed="false">
      <c r="A5" s="20" t="s">
        <v>13</v>
      </c>
      <c r="B5" s="20" t="s">
        <v>17</v>
      </c>
      <c r="C5" s="20" t="s">
        <v>16</v>
      </c>
      <c r="D5" s="21" t="n">
        <v>99.95</v>
      </c>
      <c r="E5" s="21" t="n">
        <v>99.96</v>
      </c>
      <c r="F5" s="22" t="n">
        <f aca="false">IF(AND(ISNUMBER(D5),ISNUMBER(E5)),IF(D5+E5&gt;0,2*D5*E5/(D5+E5),0),"-")</f>
        <v>99.9549997498875</v>
      </c>
      <c r="G5" s="21" t="n">
        <v>97.49</v>
      </c>
      <c r="H5" s="21" t="n">
        <v>93.89</v>
      </c>
      <c r="I5" s="22" t="n">
        <f aca="false">IF(AND(ISNUMBER(G5),ISNUMBER(H5)),IF(G5+H5&gt;0,2*G5*H5/(G5+H5),0),"-")</f>
        <v>95.6561406625562</v>
      </c>
      <c r="J5" s="23" t="n">
        <v>58.58</v>
      </c>
      <c r="K5" s="23" t="n">
        <v>67.91</v>
      </c>
      <c r="L5" s="24" t="n">
        <f aca="false">IF(AND(ISNUMBER(J5),ISNUMBER(K5)),IF(J5+K5&gt;0,2*J5*K5/(J5+K5),0),"-")</f>
        <v>62.9009060004743</v>
      </c>
      <c r="M5" s="25" t="n">
        <v>44</v>
      </c>
    </row>
    <row r="6" customFormat="false" ht="15" hidden="false" customHeight="false" outlineLevel="0" collapsed="false">
      <c r="A6" s="20" t="s">
        <v>13</v>
      </c>
      <c r="B6" s="20" t="s">
        <v>18</v>
      </c>
      <c r="C6" s="20" t="s">
        <v>19</v>
      </c>
      <c r="D6" s="21" t="n">
        <v>99.91</v>
      </c>
      <c r="E6" s="21" t="n">
        <v>99.93</v>
      </c>
      <c r="F6" s="22" t="n">
        <f aca="false">IF(AND(ISNUMBER(D6),ISNUMBER(E6)),IF(D6+E6&gt;0,2*D6*E6/(D6+E6),0),"-")</f>
        <v>99.9199989991994</v>
      </c>
      <c r="G6" s="21" t="n">
        <v>96.61</v>
      </c>
      <c r="H6" s="21" t="n">
        <v>93.92</v>
      </c>
      <c r="I6" s="22" t="n">
        <f aca="false">IF(AND(ISNUMBER(G6),ISNUMBER(H6)),IF(G6+H6&gt;0,2*G6*H6/(G6+H6),0),"-")</f>
        <v>95.2460106020049</v>
      </c>
      <c r="J6" s="23" t="n">
        <v>44.44</v>
      </c>
      <c r="K6" s="23" t="n">
        <v>70.93</v>
      </c>
      <c r="L6" s="24" t="n">
        <f aca="false">IF(AND(ISNUMBER(J6),ISNUMBER(K6)),IF(J6+K6&gt;0,2*J6*K6/(J6+K6),0),"-")</f>
        <v>54.6438276848401</v>
      </c>
      <c r="M6" s="25" t="n">
        <v>44</v>
      </c>
    </row>
    <row r="7" customFormat="false" ht="15" hidden="false" customHeight="false" outlineLevel="0" collapsed="false">
      <c r="A7" s="20" t="s">
        <v>13</v>
      </c>
      <c r="B7" s="20" t="s">
        <v>20</v>
      </c>
      <c r="C7" s="20" t="s">
        <v>21</v>
      </c>
      <c r="D7" s="21" t="n">
        <v>99.9</v>
      </c>
      <c r="E7" s="21" t="n">
        <v>99.92</v>
      </c>
      <c r="F7" s="22" t="n">
        <f aca="false">IF(AND(ISNUMBER(D7),ISNUMBER(E7)),IF(D7+E7&gt;0,2*D7*E7/(D7+E7),0),"-")</f>
        <v>99.9099989990992</v>
      </c>
      <c r="G7" s="21" t="n">
        <v>93.36</v>
      </c>
      <c r="H7" s="21" t="n">
        <v>94.57</v>
      </c>
      <c r="I7" s="22" t="n">
        <f aca="false">IF(AND(ISNUMBER(G7),ISNUMBER(H7)),IF(G7+H7&gt;0,2*G7*H7/(G7+H7),0),"-")</f>
        <v>93.9611046666312</v>
      </c>
      <c r="J7" s="23" t="n">
        <v>49.69</v>
      </c>
      <c r="K7" s="23" t="n">
        <v>61.69</v>
      </c>
      <c r="L7" s="24" t="n">
        <f aca="false">IF(AND(ISNUMBER(J7),ISNUMBER(K7)),IF(J7+K7&gt;0,2*J7*K7/(J7+K7),0),"-")</f>
        <v>55.0435643742144</v>
      </c>
      <c r="M7" s="25" t="n">
        <v>44</v>
      </c>
    </row>
    <row r="8" customFormat="false" ht="15" hidden="false" customHeight="false" outlineLevel="0" collapsed="false">
      <c r="A8" s="26" t="s">
        <v>26</v>
      </c>
      <c r="B8" s="27" t="s">
        <v>15</v>
      </c>
      <c r="C8" s="27" t="s">
        <v>16</v>
      </c>
      <c r="D8" s="28" t="n">
        <v>99.99</v>
      </c>
      <c r="E8" s="28" t="n">
        <v>99.97</v>
      </c>
      <c r="F8" s="29" t="n">
        <f aca="false">IF(AND(ISNUMBER(D8),ISNUMBER(E8)),IF(D8+E8&gt;0,2*D8*E8/(D8+E8),0),"-")</f>
        <v>99.9799989998</v>
      </c>
      <c r="G8" s="28" t="n">
        <v>97.76</v>
      </c>
      <c r="H8" s="28" t="n">
        <v>95.55</v>
      </c>
      <c r="I8" s="29" t="n">
        <f aca="false">IF(AND(ISNUMBER(G8),ISNUMBER(H8)),IF(G8+H8&gt;0,2*G8*H8/(G8+H8),0),"-")</f>
        <v>96.6423671822461</v>
      </c>
      <c r="J8" s="30" t="n">
        <v>69.4</v>
      </c>
      <c r="K8" s="30" t="n">
        <v>22.24</v>
      </c>
      <c r="L8" s="31" t="n">
        <f aca="false">IF(AND(ISNUMBER(J8),ISNUMBER(K8)),IF(J8+K8&gt;0,2*J8*K8/(J8+K8),0),"-")</f>
        <v>33.6852029681362</v>
      </c>
      <c r="M8" s="32" t="n">
        <v>90</v>
      </c>
    </row>
    <row r="9" customFormat="false" ht="15" hidden="false" customHeight="false" outlineLevel="0" collapsed="false">
      <c r="A9" s="26" t="s">
        <v>26</v>
      </c>
      <c r="B9" s="27" t="s">
        <v>17</v>
      </c>
      <c r="C9" s="27" t="s">
        <v>16</v>
      </c>
      <c r="D9" s="28" t="n">
        <v>99.99</v>
      </c>
      <c r="E9" s="28" t="n">
        <v>99.97</v>
      </c>
      <c r="F9" s="29" t="n">
        <f aca="false">IF(AND(ISNUMBER(D9),ISNUMBER(E9)),IF(D9+E9&gt;0,2*D9*E9/(D9+E9),0),"-")</f>
        <v>99.9799989998</v>
      </c>
      <c r="G9" s="28" t="n">
        <v>98.01</v>
      </c>
      <c r="H9" s="28" t="n">
        <v>96.84</v>
      </c>
      <c r="I9" s="29" t="n">
        <f aca="false">IF(AND(ISNUMBER(G9),ISNUMBER(H9)),IF(G9+H9&gt;0,2*G9*H9/(G9+H9),0),"-")</f>
        <v>97.4214872979215</v>
      </c>
      <c r="J9" s="30" t="n">
        <v>69.77</v>
      </c>
      <c r="K9" s="30" t="n">
        <v>20.84</v>
      </c>
      <c r="L9" s="31" t="n">
        <f aca="false">IF(AND(ISNUMBER(J9),ISNUMBER(K9)),IF(J9+K9&gt;0,2*J9*K9/(J9+K9),0),"-")</f>
        <v>32.0937379980135</v>
      </c>
      <c r="M9" s="32" t="n">
        <v>90</v>
      </c>
    </row>
    <row r="10" customFormat="false" ht="15" hidden="false" customHeight="false" outlineLevel="0" collapsed="false">
      <c r="A10" s="26" t="s">
        <v>26</v>
      </c>
      <c r="B10" s="27" t="s">
        <v>18</v>
      </c>
      <c r="C10" s="27" t="s">
        <v>19</v>
      </c>
      <c r="D10" s="28" t="n">
        <v>99.98</v>
      </c>
      <c r="E10" s="28" t="n">
        <v>99.96</v>
      </c>
      <c r="F10" s="29" t="n">
        <f aca="false">IF(AND(ISNUMBER(D10),ISNUMBER(E10)),IF(D10+E10&gt;0,2*D10*E10/(D10+E10),0),"-")</f>
        <v>99.9699989996999</v>
      </c>
      <c r="G10" s="28" t="n">
        <v>97.23</v>
      </c>
      <c r="H10" s="28" t="n">
        <v>95.62</v>
      </c>
      <c r="I10" s="29" t="n">
        <f aca="false">IF(AND(ISNUMBER(G10),ISNUMBER(H10)),IF(G10+H10&gt;0,2*G10*H10/(G10+H10),0),"-")</f>
        <v>96.418279491833</v>
      </c>
      <c r="J10" s="30" t="n">
        <v>62.79</v>
      </c>
      <c r="K10" s="30" t="n">
        <v>21.27</v>
      </c>
      <c r="L10" s="31" t="n">
        <f aca="false">IF(AND(ISNUMBER(J10),ISNUMBER(K10)),IF(J10+K10&gt;0,2*J10*K10/(J10+K10),0),"-")</f>
        <v>31.7759528907923</v>
      </c>
      <c r="M10" s="32" t="n">
        <v>90</v>
      </c>
    </row>
    <row r="11" customFormat="false" ht="15" hidden="false" customHeight="false" outlineLevel="0" collapsed="false">
      <c r="A11" s="26" t="s">
        <v>26</v>
      </c>
      <c r="B11" s="27" t="s">
        <v>20</v>
      </c>
      <c r="C11" s="27" t="s">
        <v>21</v>
      </c>
      <c r="D11" s="28" t="n">
        <v>99.98</v>
      </c>
      <c r="E11" s="28" t="n">
        <v>99.95</v>
      </c>
      <c r="F11" s="29" t="n">
        <f aca="false">IF(AND(ISNUMBER(D11),ISNUMBER(E11)),IF(D11+E11&gt;0,2*D11*E11/(D11+E11),0),"-")</f>
        <v>99.9649977492122</v>
      </c>
      <c r="G11" s="28" t="n">
        <v>94.38</v>
      </c>
      <c r="H11" s="28" t="n">
        <v>95.47</v>
      </c>
      <c r="I11" s="29" t="n">
        <f aca="false">IF(AND(ISNUMBER(G11),ISNUMBER(H11)),IF(G11+H11&gt;0,2*G11*H11/(G11+H11),0),"-")</f>
        <v>94.9218709507506</v>
      </c>
      <c r="J11" s="30" t="n">
        <v>63.35</v>
      </c>
      <c r="K11" s="30" t="n">
        <v>16.38</v>
      </c>
      <c r="L11" s="31" t="n">
        <f aca="false">IF(AND(ISNUMBER(J11),ISNUMBER(K11)),IF(J11+K11&gt;0,2*J11*K11/(J11+K11),0),"-")</f>
        <v>26.0296751536435</v>
      </c>
      <c r="M11" s="32" t="n">
        <v>90</v>
      </c>
    </row>
    <row r="12" customFormat="false" ht="15" hidden="false" customHeight="false" outlineLevel="0" collapsed="false">
      <c r="A12" s="20" t="s">
        <v>25</v>
      </c>
      <c r="B12" s="20" t="s">
        <v>15</v>
      </c>
      <c r="C12" s="20" t="s">
        <v>16</v>
      </c>
      <c r="D12" s="21" t="n">
        <v>97.56</v>
      </c>
      <c r="E12" s="21" t="n">
        <v>95.49</v>
      </c>
      <c r="F12" s="22" t="n">
        <f aca="false">IF(AND(ISNUMBER(D12),ISNUMBER(E12)),IF(D12+E12&gt;0,2*D12*E12/(D12+E12),0),"-")</f>
        <v>96.5139020979021</v>
      </c>
      <c r="G12" s="20" t="s">
        <v>52</v>
      </c>
      <c r="H12" s="21" t="n">
        <v>0</v>
      </c>
      <c r="I12" s="22" t="str">
        <f aca="false">IF(AND(ISNUMBER(G12),ISNUMBER(H12)),IF(G12+H12&gt;0,2*G12*H12/(G12+H12),0),"-")</f>
        <v>-</v>
      </c>
      <c r="J12" s="33" t="s">
        <v>52</v>
      </c>
      <c r="K12" s="23" t="n">
        <v>0</v>
      </c>
      <c r="L12" s="24" t="str">
        <f aca="false">IF(AND(ISNUMBER(J12),ISNUMBER(K12)),IF(J12+K12&gt;0,2*J12*K12/(J12+K12),0),"-")</f>
        <v>-</v>
      </c>
      <c r="M12" s="25" t="n">
        <v>23</v>
      </c>
    </row>
    <row r="13" customFormat="false" ht="15" hidden="false" customHeight="false" outlineLevel="0" collapsed="false">
      <c r="A13" s="20" t="s">
        <v>25</v>
      </c>
      <c r="B13" s="20" t="s">
        <v>17</v>
      </c>
      <c r="C13" s="20" t="s">
        <v>16</v>
      </c>
      <c r="D13" s="21" t="n">
        <v>97.55</v>
      </c>
      <c r="E13" s="21" t="n">
        <v>95.5</v>
      </c>
      <c r="F13" s="22" t="n">
        <f aca="false">IF(AND(ISNUMBER(D13),ISNUMBER(E13)),IF(D13+E13&gt;0,2*D13*E13/(D13+E13),0),"-")</f>
        <v>96.5141155141155</v>
      </c>
      <c r="G13" s="20" t="s">
        <v>52</v>
      </c>
      <c r="H13" s="21" t="n">
        <v>0</v>
      </c>
      <c r="I13" s="22" t="str">
        <f aca="false">IF(AND(ISNUMBER(G13),ISNUMBER(H13)),IF(G13+H13&gt;0,2*G13*H13/(G13+H13),0),"-")</f>
        <v>-</v>
      </c>
      <c r="J13" s="33" t="s">
        <v>52</v>
      </c>
      <c r="K13" s="23" t="n">
        <v>0</v>
      </c>
      <c r="L13" s="24" t="str">
        <f aca="false">IF(AND(ISNUMBER(J13),ISNUMBER(K13)),IF(J13+K13&gt;0,2*J13*K13/(J13+K13),0),"-")</f>
        <v>-</v>
      </c>
      <c r="M13" s="25" t="n">
        <v>23</v>
      </c>
    </row>
    <row r="14" customFormat="false" ht="15" hidden="false" customHeight="false" outlineLevel="0" collapsed="false">
      <c r="A14" s="20" t="s">
        <v>25</v>
      </c>
      <c r="B14" s="20" t="s">
        <v>18</v>
      </c>
      <c r="C14" s="20" t="s">
        <v>19</v>
      </c>
      <c r="D14" s="21" t="n">
        <v>97.55</v>
      </c>
      <c r="E14" s="21" t="n">
        <v>95.5</v>
      </c>
      <c r="F14" s="22" t="n">
        <f aca="false">IF(AND(ISNUMBER(D14),ISNUMBER(E14)),IF(D14+E14&gt;0,2*D14*E14/(D14+E14),0),"-")</f>
        <v>96.5141155141155</v>
      </c>
      <c r="G14" s="20" t="s">
        <v>52</v>
      </c>
      <c r="H14" s="21" t="n">
        <v>0</v>
      </c>
      <c r="I14" s="22" t="str">
        <f aca="false">IF(AND(ISNUMBER(G14),ISNUMBER(H14)),IF(G14+H14&gt;0,2*G14*H14/(G14+H14),0),"-")</f>
        <v>-</v>
      </c>
      <c r="J14" s="33" t="s">
        <v>52</v>
      </c>
      <c r="K14" s="23" t="n">
        <v>0</v>
      </c>
      <c r="L14" s="24" t="str">
        <f aca="false">IF(AND(ISNUMBER(J14),ISNUMBER(K14)),IF(J14+K14&gt;0,2*J14*K14/(J14+K14),0),"-")</f>
        <v>-</v>
      </c>
      <c r="M14" s="25" t="n">
        <v>23</v>
      </c>
    </row>
    <row r="15" customFormat="false" ht="15" hidden="false" customHeight="false" outlineLevel="0" collapsed="false">
      <c r="A15" s="20" t="s">
        <v>25</v>
      </c>
      <c r="B15" s="20" t="s">
        <v>20</v>
      </c>
      <c r="C15" s="20" t="s">
        <v>21</v>
      </c>
      <c r="D15" s="21" t="n">
        <v>97.55</v>
      </c>
      <c r="E15" s="21" t="n">
        <v>95.48</v>
      </c>
      <c r="F15" s="22" t="n">
        <f aca="false">IF(AND(ISNUMBER(D15),ISNUMBER(E15)),IF(D15+E15&gt;0,2*D15*E15/(D15+E15),0),"-")</f>
        <v>96.5039009480392</v>
      </c>
      <c r="G15" s="20" t="s">
        <v>52</v>
      </c>
      <c r="H15" s="21" t="n">
        <v>0</v>
      </c>
      <c r="I15" s="22" t="str">
        <f aca="false">IF(AND(ISNUMBER(G15),ISNUMBER(H15)),IF(G15+H15&gt;0,2*G15*H15/(G15+H15),0),"-")</f>
        <v>-</v>
      </c>
      <c r="J15" s="33" t="s">
        <v>52</v>
      </c>
      <c r="K15" s="23" t="n">
        <v>0</v>
      </c>
      <c r="L15" s="24" t="str">
        <f aca="false">IF(AND(ISNUMBER(J15),ISNUMBER(K15)),IF(J15+K15&gt;0,2*J15*K15/(J15+K15),0),"-")</f>
        <v>-</v>
      </c>
      <c r="M15" s="25" t="n">
        <v>23</v>
      </c>
    </row>
    <row r="16" customFormat="false" ht="15" hidden="false" customHeight="false" outlineLevel="0" collapsed="false">
      <c r="A16" s="34" t="s">
        <v>53</v>
      </c>
      <c r="B16" s="27" t="s">
        <v>15</v>
      </c>
      <c r="C16" s="27" t="s">
        <v>16</v>
      </c>
      <c r="D16" s="28" t="n">
        <v>97.62</v>
      </c>
      <c r="E16" s="28" t="n">
        <v>91.63</v>
      </c>
      <c r="F16" s="29" t="n">
        <f aca="false">IF(AND(ISNUMBER(D16),ISNUMBER(E16)),IF(D16+E16&gt;0,2*D16*E16/(D16+E16),0),"-")</f>
        <v>94.5302044914135</v>
      </c>
      <c r="G16" s="28" t="n">
        <v>88.9</v>
      </c>
      <c r="H16" s="28" t="n">
        <v>91.16</v>
      </c>
      <c r="I16" s="29" t="n">
        <f aca="false">IF(AND(ISNUMBER(G16),ISNUMBER(H16)),IF(G16+H16&gt;0,2*G16*H16/(G16+H16),0),"-")</f>
        <v>90.0158169499056</v>
      </c>
      <c r="J16" s="30" t="n">
        <v>86.63</v>
      </c>
      <c r="K16" s="30" t="n">
        <v>39.66</v>
      </c>
      <c r="L16" s="31" t="n">
        <f aca="false">IF(AND(ISNUMBER(J16),ISNUMBER(K16)),IF(J16+K16&gt;0,2*J16*K16/(J16+K16),0),"-")</f>
        <v>54.4104172935308</v>
      </c>
      <c r="M16" s="32" t="n">
        <v>12</v>
      </c>
    </row>
    <row r="17" customFormat="false" ht="15" hidden="false" customHeight="false" outlineLevel="0" collapsed="false">
      <c r="A17" s="26" t="s">
        <v>53</v>
      </c>
      <c r="B17" s="27" t="s">
        <v>17</v>
      </c>
      <c r="C17" s="27" t="s">
        <v>16</v>
      </c>
      <c r="D17" s="28" t="n">
        <v>97.16</v>
      </c>
      <c r="E17" s="28" t="n">
        <v>92.4</v>
      </c>
      <c r="F17" s="29" t="n">
        <f aca="false">IF(AND(ISNUMBER(D17),ISNUMBER(E17)),IF(D17+E17&gt;0,2*D17*E17/(D17+E17),0),"-")</f>
        <v>94.7202363367799</v>
      </c>
      <c r="G17" s="28" t="n">
        <v>88.37</v>
      </c>
      <c r="H17" s="28" t="n">
        <v>93.02</v>
      </c>
      <c r="I17" s="29" t="n">
        <f aca="false">IF(AND(ISNUMBER(G17),ISNUMBER(H17)),IF(G17+H17&gt;0,2*G17*H17/(G17+H17),0),"-")</f>
        <v>90.6353977617289</v>
      </c>
      <c r="J17" s="30" t="n">
        <v>85.47</v>
      </c>
      <c r="K17" s="30" t="n">
        <v>45.65</v>
      </c>
      <c r="L17" s="31" t="n">
        <f aca="false">IF(AND(ISNUMBER(J17),ISNUMBER(K17)),IF(J17+K17&gt;0,2*J17*K17/(J17+K17),0),"-")</f>
        <v>59.5135067114094</v>
      </c>
      <c r="M17" s="32" t="n">
        <v>12</v>
      </c>
    </row>
    <row r="18" customFormat="false" ht="15" hidden="false" customHeight="false" outlineLevel="0" collapsed="false">
      <c r="A18" s="26" t="s">
        <v>53</v>
      </c>
      <c r="B18" s="27" t="s">
        <v>18</v>
      </c>
      <c r="C18" s="27" t="s">
        <v>19</v>
      </c>
      <c r="D18" s="28" t="n">
        <v>95.25</v>
      </c>
      <c r="E18" s="28" t="n">
        <v>93.07</v>
      </c>
      <c r="F18" s="29" t="n">
        <f aca="false">IF(AND(ISNUMBER(D18),ISNUMBER(E18)),IF(D18+E18&gt;0,2*D18*E18/(D18+E18),0),"-")</f>
        <v>94.147382115548</v>
      </c>
      <c r="G18" s="28" t="n">
        <v>90.19</v>
      </c>
      <c r="H18" s="28" t="n">
        <v>90.55</v>
      </c>
      <c r="I18" s="29" t="n">
        <f aca="false">IF(AND(ISNUMBER(G18),ISNUMBER(H18)),IF(G18+H18&gt;0,2*G18*H18/(G18+H18),0),"-")</f>
        <v>90.3696414739405</v>
      </c>
      <c r="J18" s="30" t="n">
        <v>82.56</v>
      </c>
      <c r="K18" s="30" t="n">
        <v>40.84</v>
      </c>
      <c r="L18" s="31" t="n">
        <f aca="false">IF(AND(ISNUMBER(J18),ISNUMBER(K18)),IF(J18+K18&gt;0,2*J18*K18/(J18+K18),0),"-")</f>
        <v>54.6474943273906</v>
      </c>
      <c r="M18" s="32" t="n">
        <v>12</v>
      </c>
    </row>
    <row r="19" customFormat="false" ht="15" hidden="false" customHeight="false" outlineLevel="0" collapsed="false">
      <c r="A19" s="26" t="s">
        <v>53</v>
      </c>
      <c r="B19" s="27" t="s">
        <v>20</v>
      </c>
      <c r="C19" s="27" t="s">
        <v>21</v>
      </c>
      <c r="D19" s="28" t="n">
        <v>95.59</v>
      </c>
      <c r="E19" s="28" t="n">
        <v>92.77</v>
      </c>
      <c r="F19" s="29" t="n">
        <f aca="false">IF(AND(ISNUMBER(D19),ISNUMBER(E19)),IF(D19+E19&gt;0,2*D19*E19/(D19+E19),0),"-")</f>
        <v>94.158890422595</v>
      </c>
      <c r="G19" s="28" t="n">
        <v>89.83</v>
      </c>
      <c r="H19" s="28" t="n">
        <v>87.44</v>
      </c>
      <c r="I19" s="29" t="n">
        <f aca="false">IF(AND(ISNUMBER(G19),ISNUMBER(H19)),IF(G19+H19&gt;0,2*G19*H19/(G19+H19),0),"-")</f>
        <v>88.6188887008518</v>
      </c>
      <c r="J19" s="30" t="n">
        <v>80.62</v>
      </c>
      <c r="K19" s="30" t="n">
        <v>42.45</v>
      </c>
      <c r="L19" s="31" t="n">
        <f aca="false">IF(AND(ISNUMBER(J19),ISNUMBER(K19)),IF(J19+K19&gt;0,2*J19*K19/(J19+K19),0),"-")</f>
        <v>55.6158121394329</v>
      </c>
      <c r="M19" s="32" t="n">
        <v>12</v>
      </c>
    </row>
    <row r="20" customFormat="false" ht="15" hidden="false" customHeight="false" outlineLevel="0" collapsed="false">
      <c r="A20" s="35" t="s">
        <v>54</v>
      </c>
      <c r="B20" s="20" t="s">
        <v>15</v>
      </c>
      <c r="C20" s="20" t="s">
        <v>16</v>
      </c>
      <c r="D20" s="21" t="n">
        <v>99.89</v>
      </c>
      <c r="E20" s="21" t="n">
        <v>99.87</v>
      </c>
      <c r="F20" s="22" t="n">
        <f aca="false">IF(AND(ISNUMBER(D20),ISNUMBER(E20)),IF(D20+E20&gt;0,2*D20*E20/(D20+E20),0),"-")</f>
        <v>99.8799989987986</v>
      </c>
      <c r="G20" s="21" t="n">
        <v>87.56</v>
      </c>
      <c r="H20" s="21" t="n">
        <v>97.39</v>
      </c>
      <c r="I20" s="22" t="n">
        <f aca="false">IF(AND(ISNUMBER(G20),ISNUMBER(H20)),IF(G20+H20&gt;0,2*G20*H20/(G20+H20),0),"-")</f>
        <v>92.2137702081644</v>
      </c>
      <c r="J20" s="33" t="s">
        <v>52</v>
      </c>
      <c r="K20" s="23" t="n">
        <v>0</v>
      </c>
      <c r="L20" s="24" t="str">
        <f aca="false">IF(AND(ISNUMBER(J20),ISNUMBER(K20)),IF(J20+K20&gt;0,2*J20*K20/(J20+K20),0),"-")</f>
        <v>-</v>
      </c>
      <c r="M20" s="25" t="n">
        <v>79</v>
      </c>
    </row>
    <row r="21" customFormat="false" ht="15" hidden="false" customHeight="false" outlineLevel="0" collapsed="false">
      <c r="A21" s="20" t="s">
        <v>54</v>
      </c>
      <c r="B21" s="20" t="s">
        <v>17</v>
      </c>
      <c r="C21" s="20" t="s">
        <v>16</v>
      </c>
      <c r="D21" s="21" t="n">
        <v>99.85</v>
      </c>
      <c r="E21" s="21" t="n">
        <v>99.91</v>
      </c>
      <c r="F21" s="22" t="n">
        <f aca="false">IF(AND(ISNUMBER(D21),ISNUMBER(E21)),IF(D21+E21&gt;0,2*D21*E21/(D21+E21),0),"-")</f>
        <v>99.879990989187</v>
      </c>
      <c r="G21" s="21" t="n">
        <v>88.26</v>
      </c>
      <c r="H21" s="21" t="n">
        <v>99.25</v>
      </c>
      <c r="I21" s="22" t="n">
        <f aca="false">IF(AND(ISNUMBER(G21),ISNUMBER(H21)),IF(G21+H21&gt;0,2*G21*H21/(G21+H21),0),"-")</f>
        <v>93.4329369100315</v>
      </c>
      <c r="J21" s="33" t="s">
        <v>52</v>
      </c>
      <c r="K21" s="23" t="n">
        <v>0</v>
      </c>
      <c r="L21" s="24" t="str">
        <f aca="false">IF(AND(ISNUMBER(J21),ISNUMBER(K21)),IF(J21+K21&gt;0,2*J21*K21/(J21+K21),0),"-")</f>
        <v>-</v>
      </c>
      <c r="M21" s="25" t="n">
        <v>79</v>
      </c>
    </row>
    <row r="22" customFormat="false" ht="15" hidden="false" customHeight="false" outlineLevel="0" collapsed="false">
      <c r="A22" s="20" t="s">
        <v>54</v>
      </c>
      <c r="B22" s="20" t="s">
        <v>18</v>
      </c>
      <c r="C22" s="20" t="s">
        <v>19</v>
      </c>
      <c r="D22" s="21" t="n">
        <v>99.77</v>
      </c>
      <c r="E22" s="21" t="n">
        <v>99.72</v>
      </c>
      <c r="F22" s="22" t="n">
        <f aca="false">IF(AND(ISNUMBER(D22),ISNUMBER(E22)),IF(D22+E22&gt;0,2*D22*E22/(D22+E22),0),"-")</f>
        <v>99.7449937340218</v>
      </c>
      <c r="G22" s="21" t="n">
        <v>89.67</v>
      </c>
      <c r="H22" s="21" t="n">
        <v>99.18</v>
      </c>
      <c r="I22" s="22" t="n">
        <f aca="false">IF(AND(ISNUMBER(G22),ISNUMBER(H22)),IF(G22+H22&gt;0,2*G22*H22/(G22+H22),0),"-")</f>
        <v>94.1855504368546</v>
      </c>
      <c r="J22" s="33" t="s">
        <v>52</v>
      </c>
      <c r="K22" s="23" t="n">
        <v>0</v>
      </c>
      <c r="L22" s="24" t="str">
        <f aca="false">IF(AND(ISNUMBER(J22),ISNUMBER(K22)),IF(J22+K22&gt;0,2*J22*K22/(J22+K22),0),"-")</f>
        <v>-</v>
      </c>
      <c r="M22" s="25" t="n">
        <v>79</v>
      </c>
    </row>
    <row r="23" customFormat="false" ht="15" hidden="false" customHeight="false" outlineLevel="0" collapsed="false">
      <c r="A23" s="20" t="s">
        <v>54</v>
      </c>
      <c r="B23" s="20" t="s">
        <v>20</v>
      </c>
      <c r="C23" s="20" t="s">
        <v>21</v>
      </c>
      <c r="D23" s="21" t="n">
        <v>99.64</v>
      </c>
      <c r="E23" s="21" t="n">
        <v>99.88</v>
      </c>
      <c r="F23" s="22" t="n">
        <f aca="false">IF(AND(ISNUMBER(D23),ISNUMBER(E23)),IF(D23+E23&gt;0,2*D23*E23/(D23+E23),0),"-")</f>
        <v>99.7598556535686</v>
      </c>
      <c r="G23" s="21" t="n">
        <v>81.7</v>
      </c>
      <c r="H23" s="21" t="n">
        <v>97.56</v>
      </c>
      <c r="I23" s="22" t="n">
        <f aca="false">IF(AND(ISNUMBER(G23),ISNUMBER(H23)),IF(G23+H23&gt;0,2*G23*H23/(G23+H23),0),"-")</f>
        <v>88.9283945107665</v>
      </c>
      <c r="J23" s="33" t="s">
        <v>52</v>
      </c>
      <c r="K23" s="23" t="n">
        <v>0</v>
      </c>
      <c r="L23" s="24" t="str">
        <f aca="false">IF(AND(ISNUMBER(J23),ISNUMBER(K23)),IF(J23+K23&gt;0,2*J23*K23/(J23+K23),0),"-")</f>
        <v>-</v>
      </c>
      <c r="M23" s="25" t="n">
        <v>79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F4:F7">
    <cfRule type="expression" priority="2" aboveAverage="0" equalAverage="0" bottom="0" percent="0" rank="0" text="" dxfId="0">
      <formula>AND(ISNUMBER(#REF!),#REF!=MAX($F$4:$F$7))</formula>
    </cfRule>
  </conditionalFormatting>
  <conditionalFormatting sqref="I4:I7">
    <cfRule type="expression" priority="3" aboveAverage="0" equalAverage="0" bottom="0" percent="0" rank="0" text="" dxfId="0">
      <formula>AND(ISNUMBER(#REF!),#REF!=MAX($I$4:$I$7))</formula>
    </cfRule>
  </conditionalFormatting>
  <conditionalFormatting sqref="L4:L7">
    <cfRule type="expression" priority="4" aboveAverage="0" equalAverage="0" bottom="0" percent="0" rank="0" text="" dxfId="0">
      <formula>AND(ISNUMBER(#REF!),#REF!=MAX($L$4:$L$7))</formula>
    </cfRule>
  </conditionalFormatting>
  <conditionalFormatting sqref="F8:F11">
    <cfRule type="expression" priority="5" aboveAverage="0" equalAverage="0" bottom="0" percent="0" rank="0" text="" dxfId="0">
      <formula>AND(ISNUMBER(#REF!),#REF!=MAX($F$8:$F$11))</formula>
    </cfRule>
  </conditionalFormatting>
  <conditionalFormatting sqref="I8:I11">
    <cfRule type="expression" priority="6" aboveAverage="0" equalAverage="0" bottom="0" percent="0" rank="0" text="" dxfId="0">
      <formula>AND(ISNUMBER(#REF!),#REF!=MAX($I$8:$I$11))</formula>
    </cfRule>
  </conditionalFormatting>
  <conditionalFormatting sqref="L8:L11">
    <cfRule type="expression" priority="7" aboveAverage="0" equalAverage="0" bottom="0" percent="0" rank="0" text="" dxfId="0">
      <formula>AND(ISNUMBER(#REF!),#REF!=MAX($L$8:$L$11))</formula>
    </cfRule>
  </conditionalFormatting>
  <conditionalFormatting sqref="F12:F15">
    <cfRule type="expression" priority="8" aboveAverage="0" equalAverage="0" bottom="0" percent="0" rank="0" text="" dxfId="0">
      <formula>AND(ISNUMBER(#REF!),#REF!=MAX($F$12:$F$15))</formula>
    </cfRule>
  </conditionalFormatting>
  <conditionalFormatting sqref="I12:I15">
    <cfRule type="expression" priority="9" aboveAverage="0" equalAverage="0" bottom="0" percent="0" rank="0" text="" dxfId="0">
      <formula>AND(ISNUMBER(#REF!),#REF!=MAX($I$12:$I$15))</formula>
    </cfRule>
  </conditionalFormatting>
  <conditionalFormatting sqref="L12:L15">
    <cfRule type="expression" priority="10" aboveAverage="0" equalAverage="0" bottom="0" percent="0" rank="0" text="" dxfId="0">
      <formula>AND(ISNUMBER(#REF!),#REF!=MAX($L$12:$L$15))</formula>
    </cfRule>
  </conditionalFormatting>
  <conditionalFormatting sqref="F16:F19">
    <cfRule type="expression" priority="11" aboveAverage="0" equalAverage="0" bottom="0" percent="0" rank="0" text="" dxfId="0">
      <formula>AND(ISNUMBER(F16),F16=MAX($F$16:$F$19))</formula>
    </cfRule>
  </conditionalFormatting>
  <conditionalFormatting sqref="I16:I19">
    <cfRule type="expression" priority="12" aboveAverage="0" equalAverage="0" bottom="0" percent="0" rank="0" text="" dxfId="0">
      <formula>AND(ISNUMBER(I16),I16=MAX($I$16:$I$19))</formula>
    </cfRule>
  </conditionalFormatting>
  <conditionalFormatting sqref="L16:L19">
    <cfRule type="expression" priority="13" aboveAverage="0" equalAverage="0" bottom="0" percent="0" rank="0" text="" dxfId="0">
      <formula>AND(ISNUMBER(L16),L16=MAX($L$16:$L$19))</formula>
    </cfRule>
  </conditionalFormatting>
  <conditionalFormatting sqref="F20:F23">
    <cfRule type="expression" priority="14" aboveAverage="0" equalAverage="0" bottom="0" percent="0" rank="0" text="" dxfId="0">
      <formula>AND(ISNUMBER(F20),F20=MAX($F$20:$F$23))</formula>
    </cfRule>
  </conditionalFormatting>
  <conditionalFormatting sqref="I20:I23">
    <cfRule type="expression" priority="15" aboveAverage="0" equalAverage="0" bottom="0" percent="0" rank="0" text="" dxfId="0">
      <formula>AND(ISNUMBER(I20),I20=MAX($I$20:$I$23))</formula>
    </cfRule>
  </conditionalFormatting>
  <conditionalFormatting sqref="L20:L23">
    <cfRule type="expression" priority="16" aboveAverage="0" equalAverage="0" bottom="0" percent="0" rank="0" text="" dxfId="0">
      <formula>AND(ISNUMBER(L20),L20=MAX($L$20:$L$23))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2026-10-12T06:08:19Z</dcterms:created>
  <dc:creator>openpyxl</dc:creator>
  <dc:description/>
  <dc:language>en-US</dc:language>
  <cp:lastModifiedBy/>
  <dcterms:modified xsi:type="dcterms:W3CDTF">2026-10-12T14:58:25Z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