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hythm" sheetId="1" state="visible" r:id="rId3"/>
    <sheet name="Be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summary</author>
  </authors>
  <commentList>
    <comment ref="K5" authorId="0">
      <text>
        <r>
          <rPr>
            <sz val="10"/>
            <rFont val="Arial"/>
            <family val="2"/>
          </rPr>
          <t xml:space="preserve">Target rhythm 3.0.6: D Se/+P 98/90, E Se/+P 80/92</t>
        </r>
      </text>
    </comment>
    <comment ref="K14" authorId="0">
      <text>
        <r>
          <rPr>
            <sz val="10"/>
            <rFont val="Arial"/>
            <family val="2"/>
          </rPr>
          <t xml:space="preserve">Target rhythm 3.0.6: D Se/+P 61/24, E Se/+P 62/19</t>
        </r>
      </text>
    </comment>
    <comment ref="K23" authorId="0">
      <text>
        <r>
          <rPr>
            <sz val="10"/>
            <rFont val="Arial"/>
            <family val="2"/>
          </rPr>
          <t xml:space="preserve">Target rhythm 3.0.6: D Se/+P 75/57, E Se/+P 82/58</t>
        </r>
      </text>
    </comment>
    <comment ref="K32" authorId="0">
      <text>
        <r>
          <rPr>
            <sz val="10"/>
            <rFont val="Arial"/>
            <family val="2"/>
          </rPr>
          <t xml:space="preserve">Target rhythm 3.0.6: D Se/+P 98/87, E Se/+P 100/100</t>
        </r>
      </text>
    </comment>
    <comment ref="K41" authorId="0">
      <text>
        <r>
          <rPr>
            <sz val="10"/>
            <rFont val="Arial"/>
            <family val="2"/>
          </rPr>
          <t xml:space="preserve">Target rhythm 3.0.6: D Se/+P 96/99, E Se/+P 81/93</t>
        </r>
      </text>
    </comment>
  </commentList>
</comments>
</file>

<file path=xl/sharedStrings.xml><?xml version="1.0" encoding="utf-8"?>
<sst xmlns="http://schemas.openxmlformats.org/spreadsheetml/2006/main" count="1120" uniqueCount="89">
  <si>
    <t xml:space="preserve">A. EC57 — epicmp (F1 duration / episode), theo database → lớp → model</t>
  </si>
  <si>
    <t xml:space="preserve">Model "gốc" = checkpoint distill/release với decode chính thức (config mặc định). Model "tune" = fine-tune trên 5 nguồn portal của rhythm_eval + decode/post-process chọn trên validation strip_val2 (split eval, không trùng study với rhythm_eval). Hop 5 s, TTA id,flip,swap, AFL = AF (epicmp -x). Model "cách 2" = một decode chọn trên strip_val2 VÀ không tụt dưới mức của model gốc trên Holter validation (eval side ltafdb/nsrdb/incartdb/svdb); chọn giữa bản gốc và bản fine-tune theo validation (1m: fine-tune; 100k, 30k: gốc). Target = bảng sản phẩm "rhythm 3.0.6". nstdb / ahadb không có cơn rhythm tham chiếu (chỉ có ở sheet Beat). Nền xanh = tune portal, nền vàng = cách 2.</t>
  </si>
  <si>
    <t xml:space="preserve">Database</t>
  </si>
  <si>
    <t xml:space="preserve">Lớp</t>
  </si>
  <si>
    <t xml:space="preserve">Model</t>
  </si>
  <si>
    <t xml:space="preserve">Tham số</t>
  </si>
  <si>
    <t xml:space="preserve">D Se</t>
  </si>
  <si>
    <t xml:space="preserve">D +P</t>
  </si>
  <si>
    <t xml:space="preserve">D F1</t>
  </si>
  <si>
    <t xml:space="preserve">E Se</t>
  </si>
  <si>
    <t xml:space="preserve">E +P</t>
  </si>
  <si>
    <t xml:space="preserve">E F1</t>
  </si>
  <si>
    <t xml:space="preserve">Target D F1</t>
  </si>
  <si>
    <t xml:space="preserve">Target E F1</t>
  </si>
  <si>
    <t xml:space="preserve">Đạt D</t>
  </si>
  <si>
    <t xml:space="preserve">Đạt E</t>
  </si>
  <si>
    <t xml:space="preserve">Records</t>
  </si>
  <si>
    <t xml:space="preserve">mitdb</t>
  </si>
  <si>
    <t xml:space="preserve">AFIB</t>
  </si>
  <si>
    <t xml:space="preserve">Dual 1m e26 — gốc, decode cũ</t>
  </si>
  <si>
    <t xml:space="preserve">989k</t>
  </si>
  <si>
    <t xml:space="preserve">Dual 1m — fine-tune + decode tune</t>
  </si>
  <si>
    <t xml:space="preserve">Dual 1m — cách 2 (portal + Holter)</t>
  </si>
  <si>
    <t xml:space="preserve">Dual 100k — gốc, decode cũ</t>
  </si>
  <si>
    <t xml:space="preserve">80k</t>
  </si>
  <si>
    <t xml:space="preserve">Dual 100k — fine-tune + decode tune</t>
  </si>
  <si>
    <t xml:space="preserve">Dual 100k — cách 2 (portal + Holter)</t>
  </si>
  <si>
    <t xml:space="preserve">Dual 30k — gốc, decode cũ</t>
  </si>
  <si>
    <t xml:space="preserve">23k</t>
  </si>
  <si>
    <t xml:space="preserve">Dual 30k — fine-tune + decode tune</t>
  </si>
  <si>
    <t xml:space="preserve">Dual 30k — cách 2 (portal + Holter)</t>
  </si>
  <si>
    <t xml:space="preserve">SVT</t>
  </si>
  <si>
    <t xml:space="preserve">VT</t>
  </si>
  <si>
    <t xml:space="preserve">AVB</t>
  </si>
  <si>
    <t xml:space="preserve">afdb</t>
  </si>
  <si>
    <t xml:space="preserve">escdb</t>
  </si>
  <si>
    <t xml:space="preserve">-</t>
  </si>
  <si>
    <t xml:space="preserve">B. rhythm_eval (holdout portal, 4.909 sự kiện) — chấm bên trong cửa sổ bác sĩ duyệt, so với bảng tham khảo</t>
  </si>
  <si>
    <t xml:space="preserve">Giao thức ecgr/rhythm/strip_eval.py: chỉ cửa sổ đánh dấu (10-50 s) có nhãn nên chỉ chấm trong đó. B1 = epicmp segment-to-segment (target "Version 5.4.1"); B2 = sample-to-sample recall (đường chéo 5.4.1); B3 = event-level Se/PPV/F1 (hình tham khảo thứ 2). AVB = AVB2+AVB3 gộp, phải vượt hàng tốt hơn của AVB2/AVB3.</t>
  </si>
  <si>
    <t xml:space="preserve">Tgt E Se</t>
  </si>
  <si>
    <t xml:space="preserve">Tgt E +P</t>
  </si>
  <si>
    <t xml:space="preserve">Tgt D Se</t>
  </si>
  <si>
    <t xml:space="preserve">Tgt D +P</t>
  </si>
  <si>
    <t xml:space="preserve">Đạt (4 ô)</t>
  </si>
  <si>
    <t xml:space="preserve">rhythm_eval</t>
  </si>
  <si>
    <t xml:space="preserve">Hàng</t>
  </si>
  <si>
    <t xml:space="preserve">Recall %</t>
  </si>
  <si>
    <t xml:space="preserve">Target</t>
  </si>
  <si>
    <t xml:space="preserve">Đạt</t>
  </si>
  <si>
    <t xml:space="preserve">SINUS</t>
  </si>
  <si>
    <t xml:space="preserve">AVB2</t>
  </si>
  <si>
    <t xml:space="preserve">AVB3</t>
  </si>
  <si>
    <t xml:space="preserve">Se</t>
  </si>
  <si>
    <t xml:space="preserve">PPV</t>
  </si>
  <si>
    <t xml:space="preserve">F1</t>
  </si>
  <si>
    <t xml:space="preserve">Tgt Se</t>
  </si>
  <si>
    <t xml:space="preserve">Tgt PPV</t>
  </si>
  <si>
    <t xml:space="preserve">Tgt F1</t>
  </si>
  <si>
    <t xml:space="preserve">Đạt F1</t>
  </si>
  <si>
    <t xml:space="preserve">Tổng ô target rhythm_eval đạt (36 ô: B1 16 + B2 6 + B3 12 + 2 hàng AVB2/AVB3 Se):</t>
  </si>
  <si>
    <t xml:space="preserve">29/36</t>
  </si>
  <si>
    <t xml:space="preserve">30/36</t>
  </si>
  <si>
    <t xml:space="preserve">31/36</t>
  </si>
  <si>
    <t xml:space="preserve">33/36</t>
  </si>
  <si>
    <t xml:space="preserve">C. Data eval — tập test của dữ liệu train (7.233 window 10 s), F1 macro theo giây</t>
  </si>
  <si>
    <t xml:space="preserve">Nhiễu thêm vào mọi window với SNR cố định; F1 theo lớp ở tập sạch. Không có decode/post-process (đầu ra thô theo giây).</t>
  </si>
  <si>
    <t xml:space="preserve">Sạch</t>
  </si>
  <si>
    <t xml:space="preserve">18 dB</t>
  </si>
  <si>
    <t xml:space="preserve">12 dB</t>
  </si>
  <si>
    <t xml:space="preserve">6 dB</t>
  </si>
  <si>
    <t xml:space="preserve">0 dB</t>
  </si>
  <si>
    <t xml:space="preserve">−6 dB</t>
  </si>
  <si>
    <t xml:space="preserve">test split</t>
  </si>
  <si>
    <t xml:space="preserve">BEAT — bxb (AAMI EC57), theo database → model</t>
  </si>
  <si>
    <t xml:space="preserve">Beat hypothesis = ngõ ra beat của model sau decode (model "tune": beat stage tắt nên ký hiệu beat là đầu ra thô của decoder beat; model "gốc": sau beat post-processing chính thức). afdb chấm trên .qrs (không có loại beat). F1 = công thức từ Se và +P. Mục tiêu beat (README): mitdb QRS ≥ 99.95, SVEB Se &gt; 43, SVEB +P &gt; 80.</t>
  </si>
  <si>
    <t xml:space="preserve">QRS Se</t>
  </si>
  <si>
    <t xml:space="preserve">QRS +P</t>
  </si>
  <si>
    <t xml:space="preserve">QRS F1</t>
  </si>
  <si>
    <t xml:space="preserve">VEB Se</t>
  </si>
  <si>
    <t xml:space="preserve">VEB +P</t>
  </si>
  <si>
    <t xml:space="preserve">VEB F1</t>
  </si>
  <si>
    <t xml:space="preserve">SVEB Se</t>
  </si>
  <si>
    <t xml:space="preserve">SVEB +P</t>
  </si>
  <si>
    <t xml:space="preserve">SVEB F1</t>
  </si>
  <si>
    <t xml:space="preserve">Tổng QRS</t>
  </si>
  <si>
    <t xml:space="preserve">Tổng VEB</t>
  </si>
  <si>
    <t xml:space="preserve">Tổng SVEB</t>
  </si>
  <si>
    <t xml:space="preserve">nstdb</t>
  </si>
  <si>
    <t xml:space="preserve">ahadb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</si>
</sst>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12" min="5" style="0" width="10"/>
    <col collapsed="false" customWidth="true" hidden="false" outlineLevel="0" max="14" min="13" style="0" width="8"/>
    <col collapsed="false" customWidth="true" hidden="false" outlineLevel="0" max="15" min="15" style="0" width="9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5" t="s">
        <v>19</v>
      </c>
      <c r="D5" s="5" t="s">
        <v>20</v>
      </c>
      <c r="E5" s="6" t="n">
        <v>92</v>
      </c>
      <c r="F5" s="6" t="n">
        <v>94</v>
      </c>
      <c r="G5" s="7" t="n">
        <f aca="false">IF(AND(ISNUMBER(E5),ISNUMBER(F5)),IF(E5+F5&gt;0,2*E5*F5/(E5+F5),0),"-")</f>
        <v>92.989247311828</v>
      </c>
      <c r="H5" s="6" t="n">
        <v>86</v>
      </c>
      <c r="I5" s="6" t="n">
        <v>75</v>
      </c>
      <c r="J5" s="7" t="n">
        <f aca="false">IF(AND(ISNUMBER(H5),ISNUMBER(I5)),IF(H5+I5&gt;0,2*H5*I5/(H5+I5),0),"-")</f>
        <v>80.1242236024845</v>
      </c>
      <c r="K5" s="8" t="n">
        <v>93.8</v>
      </c>
      <c r="L5" s="8" t="n">
        <v>85.6</v>
      </c>
      <c r="M5" s="9" t="str">
        <f aca="false">IF(ISNUMBER(G5),IF(G5&gt;=K5,"✓","✗"),"-")</f>
        <v>✗</v>
      </c>
      <c r="N5" s="9" t="str">
        <f aca="false">IF(ISNUMBER(J5),IF(J5&gt;=L5,"✓","✗"),"-")</f>
        <v>✗</v>
      </c>
      <c r="O5" s="6" t="n">
        <v>44</v>
      </c>
    </row>
    <row r="6" customFormat="false" ht="15" hidden="false" customHeight="false" outlineLevel="0" collapsed="false">
      <c r="A6" s="10" t="s">
        <v>17</v>
      </c>
      <c r="B6" s="10" t="s">
        <v>18</v>
      </c>
      <c r="C6" s="11" t="s">
        <v>21</v>
      </c>
      <c r="D6" s="11" t="s">
        <v>20</v>
      </c>
      <c r="E6" s="12" t="n">
        <v>80</v>
      </c>
      <c r="F6" s="12" t="n">
        <v>93</v>
      </c>
      <c r="G6" s="13" t="n">
        <f aca="false">IF(AND(ISNUMBER(E6),ISNUMBER(F6)),IF(E6+F6&gt;0,2*E6*F6/(E6+F6),0),"-")</f>
        <v>86.0115606936416</v>
      </c>
      <c r="H6" s="12" t="n">
        <v>78</v>
      </c>
      <c r="I6" s="12" t="n">
        <v>78</v>
      </c>
      <c r="J6" s="13" t="n">
        <f aca="false">IF(AND(ISNUMBER(H6),ISNUMBER(I6)),IF(H6+I6&gt;0,2*H6*I6/(H6+I6),0),"-")</f>
        <v>78</v>
      </c>
      <c r="K6" s="14" t="n">
        <v>93.8</v>
      </c>
      <c r="L6" s="14" t="n">
        <v>85.6</v>
      </c>
      <c r="M6" s="15" t="str">
        <f aca="false">IF(ISNUMBER(G6),IF(G6&gt;=K6,"✓","✗"),"-")</f>
        <v>✗</v>
      </c>
      <c r="N6" s="15" t="str">
        <f aca="false">IF(ISNUMBER(J6),IF(J6&gt;=L6,"✓","✗"),"-")</f>
        <v>✗</v>
      </c>
      <c r="O6" s="12" t="n">
        <v>44</v>
      </c>
    </row>
    <row r="7" customFormat="false" ht="15" hidden="false" customHeight="false" outlineLevel="0" collapsed="false">
      <c r="A7" s="10" t="s">
        <v>17</v>
      </c>
      <c r="B7" s="10" t="s">
        <v>18</v>
      </c>
      <c r="C7" s="16" t="s">
        <v>22</v>
      </c>
      <c r="D7" s="16" t="s">
        <v>20</v>
      </c>
      <c r="E7" s="12" t="n">
        <v>80</v>
      </c>
      <c r="F7" s="12" t="n">
        <v>93</v>
      </c>
      <c r="G7" s="13" t="n">
        <f aca="false">IF(AND(ISNUMBER(E7),ISNUMBER(F7)),IF(E7+F7&gt;0,2*E7*F7/(E7+F7),0),"-")</f>
        <v>86.0115606936416</v>
      </c>
      <c r="H7" s="12" t="n">
        <v>78</v>
      </c>
      <c r="I7" s="12" t="n">
        <v>78</v>
      </c>
      <c r="J7" s="13" t="n">
        <f aca="false">IF(AND(ISNUMBER(H7),ISNUMBER(I7)),IF(H7+I7&gt;0,2*H7*I7/(H7+I7),0),"-")</f>
        <v>78</v>
      </c>
      <c r="K7" s="14" t="n">
        <v>93.8</v>
      </c>
      <c r="L7" s="14" t="n">
        <v>85.6</v>
      </c>
      <c r="M7" s="15" t="str">
        <f aca="false">IF(ISNUMBER(G7),IF(G7&gt;=K7,"✓","✗"),"-")</f>
        <v>✗</v>
      </c>
      <c r="N7" s="15" t="str">
        <f aca="false">IF(ISNUMBER(J7),IF(J7&gt;=L7,"✓","✗"),"-")</f>
        <v>✗</v>
      </c>
      <c r="O7" s="12" t="n">
        <v>44</v>
      </c>
    </row>
    <row r="8" customFormat="false" ht="15" hidden="false" customHeight="false" outlineLevel="0" collapsed="false">
      <c r="A8" s="10" t="s">
        <v>17</v>
      </c>
      <c r="B8" s="10" t="s">
        <v>18</v>
      </c>
      <c r="C8" s="17" t="s">
        <v>23</v>
      </c>
      <c r="D8" s="17" t="s">
        <v>24</v>
      </c>
      <c r="E8" s="12" t="n">
        <v>89</v>
      </c>
      <c r="F8" s="12" t="n">
        <v>76</v>
      </c>
      <c r="G8" s="13" t="n">
        <f aca="false">IF(AND(ISNUMBER(E8),ISNUMBER(F8)),IF(E8+F8&gt;0,2*E8*F8/(E8+F8),0),"-")</f>
        <v>81.9878787878788</v>
      </c>
      <c r="H8" s="12" t="n">
        <v>86</v>
      </c>
      <c r="I8" s="12" t="n">
        <v>61</v>
      </c>
      <c r="J8" s="13" t="n">
        <f aca="false">IF(AND(ISNUMBER(H8),ISNUMBER(I8)),IF(H8+I8&gt;0,2*H8*I8/(H8+I8),0),"-")</f>
        <v>71.374149659864</v>
      </c>
      <c r="K8" s="14" t="n">
        <v>93.8</v>
      </c>
      <c r="L8" s="14" t="n">
        <v>85.6</v>
      </c>
      <c r="M8" s="15" t="str">
        <f aca="false">IF(ISNUMBER(G8),IF(G8&gt;=K8,"✓","✗"),"-")</f>
        <v>✗</v>
      </c>
      <c r="N8" s="15" t="str">
        <f aca="false">IF(ISNUMBER(J8),IF(J8&gt;=L8,"✓","✗"),"-")</f>
        <v>✗</v>
      </c>
      <c r="O8" s="12" t="n">
        <v>44</v>
      </c>
    </row>
    <row r="9" customFormat="false" ht="15" hidden="false" customHeight="false" outlineLevel="0" collapsed="false">
      <c r="A9" s="10" t="s">
        <v>17</v>
      </c>
      <c r="B9" s="10" t="s">
        <v>18</v>
      </c>
      <c r="C9" s="11" t="s">
        <v>25</v>
      </c>
      <c r="D9" s="11" t="s">
        <v>24</v>
      </c>
      <c r="E9" s="12" t="n">
        <v>84</v>
      </c>
      <c r="F9" s="12" t="n">
        <v>69</v>
      </c>
      <c r="G9" s="13" t="n">
        <f aca="false">IF(AND(ISNUMBER(E9),ISNUMBER(F9)),IF(E9+F9&gt;0,2*E9*F9/(E9+F9),0),"-")</f>
        <v>75.7647058823529</v>
      </c>
      <c r="H9" s="12" t="n">
        <v>77</v>
      </c>
      <c r="I9" s="12" t="n">
        <v>41</v>
      </c>
      <c r="J9" s="13" t="n">
        <f aca="false">IF(AND(ISNUMBER(H9),ISNUMBER(I9)),IF(H9+I9&gt;0,2*H9*I9/(H9+I9),0),"-")</f>
        <v>53.5084745762712</v>
      </c>
      <c r="K9" s="14" t="n">
        <v>93.8</v>
      </c>
      <c r="L9" s="14" t="n">
        <v>85.6</v>
      </c>
      <c r="M9" s="15" t="str">
        <f aca="false">IF(ISNUMBER(G9),IF(G9&gt;=K9,"✓","✗"),"-")</f>
        <v>✗</v>
      </c>
      <c r="N9" s="15" t="str">
        <f aca="false">IF(ISNUMBER(J9),IF(J9&gt;=L9,"✓","✗"),"-")</f>
        <v>✗</v>
      </c>
      <c r="O9" s="12" t="n">
        <v>44</v>
      </c>
    </row>
    <row r="10" customFormat="false" ht="15" hidden="false" customHeight="false" outlineLevel="0" collapsed="false">
      <c r="A10" s="10" t="s">
        <v>17</v>
      </c>
      <c r="B10" s="10" t="s">
        <v>18</v>
      </c>
      <c r="C10" s="16" t="s">
        <v>26</v>
      </c>
      <c r="D10" s="16" t="s">
        <v>24</v>
      </c>
      <c r="E10" s="12" t="n">
        <v>88</v>
      </c>
      <c r="F10" s="12" t="n">
        <v>78</v>
      </c>
      <c r="G10" s="13" t="n">
        <f aca="false">IF(AND(ISNUMBER(E10),ISNUMBER(F10)),IF(E10+F10&gt;0,2*E10*F10/(E10+F10),0),"-")</f>
        <v>82.6987951807229</v>
      </c>
      <c r="H10" s="12" t="n">
        <v>84</v>
      </c>
      <c r="I10" s="12" t="n">
        <v>55</v>
      </c>
      <c r="J10" s="13" t="n">
        <f aca="false">IF(AND(ISNUMBER(H10),ISNUMBER(I10)),IF(H10+I10&gt;0,2*H10*I10/(H10+I10),0),"-")</f>
        <v>66.4748201438849</v>
      </c>
      <c r="K10" s="14" t="n">
        <v>93.8</v>
      </c>
      <c r="L10" s="14" t="n">
        <v>85.6</v>
      </c>
      <c r="M10" s="15" t="str">
        <f aca="false">IF(ISNUMBER(G10),IF(G10&gt;=K10,"✓","✗"),"-")</f>
        <v>✗</v>
      </c>
      <c r="N10" s="15" t="str">
        <f aca="false">IF(ISNUMBER(J10),IF(J10&gt;=L10,"✓","✗"),"-")</f>
        <v>✗</v>
      </c>
      <c r="O10" s="12" t="n">
        <v>44</v>
      </c>
    </row>
    <row r="11" customFormat="false" ht="15" hidden="false" customHeight="false" outlineLevel="0" collapsed="false">
      <c r="A11" s="10" t="s">
        <v>17</v>
      </c>
      <c r="B11" s="10" t="s">
        <v>18</v>
      </c>
      <c r="C11" s="17" t="s">
        <v>27</v>
      </c>
      <c r="D11" s="17" t="s">
        <v>28</v>
      </c>
      <c r="E11" s="12" t="n">
        <v>95</v>
      </c>
      <c r="F11" s="12" t="n">
        <v>77</v>
      </c>
      <c r="G11" s="13" t="n">
        <f aca="false">IF(AND(ISNUMBER(E11),ISNUMBER(F11)),IF(E11+F11&gt;0,2*E11*F11/(E11+F11),0),"-")</f>
        <v>85.0581395348837</v>
      </c>
      <c r="H11" s="12" t="n">
        <v>81</v>
      </c>
      <c r="I11" s="12" t="n">
        <v>42</v>
      </c>
      <c r="J11" s="13" t="n">
        <f aca="false">IF(AND(ISNUMBER(H11),ISNUMBER(I11)),IF(H11+I11&gt;0,2*H11*I11/(H11+I11),0),"-")</f>
        <v>55.3170731707317</v>
      </c>
      <c r="K11" s="14" t="n">
        <v>93.8</v>
      </c>
      <c r="L11" s="14" t="n">
        <v>85.6</v>
      </c>
      <c r="M11" s="15" t="str">
        <f aca="false">IF(ISNUMBER(G11),IF(G11&gt;=K11,"✓","✗"),"-")</f>
        <v>✗</v>
      </c>
      <c r="N11" s="15" t="str">
        <f aca="false">IF(ISNUMBER(J11),IF(J11&gt;=L11,"✓","✗"),"-")</f>
        <v>✗</v>
      </c>
      <c r="O11" s="12" t="n">
        <v>44</v>
      </c>
    </row>
    <row r="12" customFormat="false" ht="15" hidden="false" customHeight="false" outlineLevel="0" collapsed="false">
      <c r="A12" s="10" t="s">
        <v>17</v>
      </c>
      <c r="B12" s="10" t="s">
        <v>18</v>
      </c>
      <c r="C12" s="11" t="s">
        <v>29</v>
      </c>
      <c r="D12" s="11" t="s">
        <v>28</v>
      </c>
      <c r="E12" s="12" t="n">
        <v>85</v>
      </c>
      <c r="F12" s="12" t="n">
        <v>61</v>
      </c>
      <c r="G12" s="13" t="n">
        <f aca="false">IF(AND(ISNUMBER(E12),ISNUMBER(F12)),IF(E12+F12&gt;0,2*E12*F12/(E12+F12),0),"-")</f>
        <v>71.027397260274</v>
      </c>
      <c r="H12" s="12" t="n">
        <v>75</v>
      </c>
      <c r="I12" s="12" t="n">
        <v>45</v>
      </c>
      <c r="J12" s="13" t="n">
        <f aca="false">IF(AND(ISNUMBER(H12),ISNUMBER(I12)),IF(H12+I12&gt;0,2*H12*I12/(H12+I12),0),"-")</f>
        <v>56.25</v>
      </c>
      <c r="K12" s="14" t="n">
        <v>93.8</v>
      </c>
      <c r="L12" s="14" t="n">
        <v>85.6</v>
      </c>
      <c r="M12" s="15" t="str">
        <f aca="false">IF(ISNUMBER(G12),IF(G12&gt;=K12,"✓","✗"),"-")</f>
        <v>✗</v>
      </c>
      <c r="N12" s="15" t="str">
        <f aca="false">IF(ISNUMBER(J12),IF(J12&gt;=L12,"✓","✗"),"-")</f>
        <v>✗</v>
      </c>
      <c r="O12" s="12" t="n">
        <v>44</v>
      </c>
    </row>
    <row r="13" customFormat="false" ht="15" hidden="false" customHeight="false" outlineLevel="0" collapsed="false">
      <c r="A13" s="10" t="s">
        <v>17</v>
      </c>
      <c r="B13" s="10" t="s">
        <v>18</v>
      </c>
      <c r="C13" s="16" t="s">
        <v>30</v>
      </c>
      <c r="D13" s="16" t="s">
        <v>28</v>
      </c>
      <c r="E13" s="12" t="n">
        <v>95</v>
      </c>
      <c r="F13" s="12" t="n">
        <v>68</v>
      </c>
      <c r="G13" s="13" t="n">
        <f aca="false">IF(AND(ISNUMBER(E13),ISNUMBER(F13)),IF(E13+F13&gt;0,2*E13*F13/(E13+F13),0),"-")</f>
        <v>79.2638036809816</v>
      </c>
      <c r="H13" s="12" t="n">
        <v>82</v>
      </c>
      <c r="I13" s="12" t="n">
        <v>30</v>
      </c>
      <c r="J13" s="13" t="n">
        <f aca="false">IF(AND(ISNUMBER(H13),ISNUMBER(I13)),IF(H13+I13&gt;0,2*H13*I13/(H13+I13),0),"-")</f>
        <v>43.9285714285714</v>
      </c>
      <c r="K13" s="14" t="n">
        <v>93.8</v>
      </c>
      <c r="L13" s="14" t="n">
        <v>85.6</v>
      </c>
      <c r="M13" s="15" t="str">
        <f aca="false">IF(ISNUMBER(G13),IF(G13&gt;=K13,"✓","✗"),"-")</f>
        <v>✗</v>
      </c>
      <c r="N13" s="15" t="str">
        <f aca="false">IF(ISNUMBER(J13),IF(J13&gt;=L13,"✓","✗"),"-")</f>
        <v>✗</v>
      </c>
      <c r="O13" s="12" t="n">
        <v>44</v>
      </c>
    </row>
    <row r="14" customFormat="false" ht="15" hidden="false" customHeight="false" outlineLevel="0" collapsed="false">
      <c r="A14" s="4" t="s">
        <v>17</v>
      </c>
      <c r="B14" s="4" t="s">
        <v>31</v>
      </c>
      <c r="C14" s="5" t="s">
        <v>19</v>
      </c>
      <c r="D14" s="5" t="s">
        <v>20</v>
      </c>
      <c r="E14" s="6" t="n">
        <v>58</v>
      </c>
      <c r="F14" s="6" t="n">
        <v>46</v>
      </c>
      <c r="G14" s="7" t="n">
        <f aca="false">IF(AND(ISNUMBER(E14),ISNUMBER(F14)),IF(E14+F14&gt;0,2*E14*F14/(E14+F14),0),"-")</f>
        <v>51.3076923076923</v>
      </c>
      <c r="H14" s="6" t="n">
        <v>69</v>
      </c>
      <c r="I14" s="6" t="n">
        <v>46</v>
      </c>
      <c r="J14" s="7" t="n">
        <f aca="false">IF(AND(ISNUMBER(H14),ISNUMBER(I14)),IF(H14+I14&gt;0,2*H14*I14/(H14+I14),0),"-")</f>
        <v>55.2</v>
      </c>
      <c r="K14" s="8" t="n">
        <v>34.4</v>
      </c>
      <c r="L14" s="8" t="n">
        <v>29.1</v>
      </c>
      <c r="M14" s="9" t="str">
        <f aca="false">IF(ISNUMBER(G14),IF(G14&gt;=K14,"✓","✗"),"-")</f>
        <v>✓</v>
      </c>
      <c r="N14" s="9" t="str">
        <f aca="false">IF(ISNUMBER(J14),IF(J14&gt;=L14,"✓","✗"),"-")</f>
        <v>✓</v>
      </c>
      <c r="O14" s="6" t="n">
        <v>44</v>
      </c>
    </row>
    <row r="15" customFormat="false" ht="15" hidden="false" customHeight="false" outlineLevel="0" collapsed="false">
      <c r="A15" s="10" t="s">
        <v>17</v>
      </c>
      <c r="B15" s="10" t="s">
        <v>31</v>
      </c>
      <c r="C15" s="11" t="s">
        <v>21</v>
      </c>
      <c r="D15" s="11" t="s">
        <v>20</v>
      </c>
      <c r="E15" s="12" t="n">
        <v>49</v>
      </c>
      <c r="F15" s="12" t="n">
        <v>30</v>
      </c>
      <c r="G15" s="13" t="n">
        <f aca="false">IF(AND(ISNUMBER(E15),ISNUMBER(F15)),IF(E15+F15&gt;0,2*E15*F15/(E15+F15),0),"-")</f>
        <v>37.2151898734177</v>
      </c>
      <c r="H15" s="12" t="n">
        <v>62</v>
      </c>
      <c r="I15" s="12" t="n">
        <v>21</v>
      </c>
      <c r="J15" s="13" t="n">
        <f aca="false">IF(AND(ISNUMBER(H15),ISNUMBER(I15)),IF(H15+I15&gt;0,2*H15*I15/(H15+I15),0),"-")</f>
        <v>31.3734939759036</v>
      </c>
      <c r="K15" s="14" t="n">
        <v>34.4</v>
      </c>
      <c r="L15" s="14" t="n">
        <v>29.1</v>
      </c>
      <c r="M15" s="15" t="str">
        <f aca="false">IF(ISNUMBER(G15),IF(G15&gt;=K15,"✓","✗"),"-")</f>
        <v>✓</v>
      </c>
      <c r="N15" s="15" t="str">
        <f aca="false">IF(ISNUMBER(J15),IF(J15&gt;=L15,"✓","✗"),"-")</f>
        <v>✓</v>
      </c>
      <c r="O15" s="12" t="n">
        <v>44</v>
      </c>
    </row>
    <row r="16" customFormat="false" ht="15" hidden="false" customHeight="false" outlineLevel="0" collapsed="false">
      <c r="A16" s="10" t="s">
        <v>17</v>
      </c>
      <c r="B16" s="10" t="s">
        <v>31</v>
      </c>
      <c r="C16" s="16" t="s">
        <v>22</v>
      </c>
      <c r="D16" s="16" t="s">
        <v>20</v>
      </c>
      <c r="E16" s="12" t="n">
        <v>40</v>
      </c>
      <c r="F16" s="12" t="n">
        <v>35</v>
      </c>
      <c r="G16" s="13" t="n">
        <f aca="false">IF(AND(ISNUMBER(E16),ISNUMBER(F16)),IF(E16+F16&gt;0,2*E16*F16/(E16+F16),0),"-")</f>
        <v>37.3333333333333</v>
      </c>
      <c r="H16" s="12" t="n">
        <v>65</v>
      </c>
      <c r="I16" s="12" t="n">
        <v>31</v>
      </c>
      <c r="J16" s="13" t="n">
        <f aca="false">IF(AND(ISNUMBER(H16),ISNUMBER(I16)),IF(H16+I16&gt;0,2*H16*I16/(H16+I16),0),"-")</f>
        <v>41.9791666666667</v>
      </c>
      <c r="K16" s="14" t="n">
        <v>34.4</v>
      </c>
      <c r="L16" s="14" t="n">
        <v>29.1</v>
      </c>
      <c r="M16" s="15" t="str">
        <f aca="false">IF(ISNUMBER(G16),IF(G16&gt;=K16,"✓","✗"),"-")</f>
        <v>✓</v>
      </c>
      <c r="N16" s="15" t="str">
        <f aca="false">IF(ISNUMBER(J16),IF(J16&gt;=L16,"✓","✗"),"-")</f>
        <v>✓</v>
      </c>
      <c r="O16" s="12" t="n">
        <v>44</v>
      </c>
    </row>
    <row r="17" customFormat="false" ht="15" hidden="false" customHeight="false" outlineLevel="0" collapsed="false">
      <c r="A17" s="10" t="s">
        <v>17</v>
      </c>
      <c r="B17" s="10" t="s">
        <v>31</v>
      </c>
      <c r="C17" s="17" t="s">
        <v>23</v>
      </c>
      <c r="D17" s="17" t="s">
        <v>24</v>
      </c>
      <c r="E17" s="12" t="n">
        <v>45</v>
      </c>
      <c r="F17" s="12" t="n">
        <v>53</v>
      </c>
      <c r="G17" s="13" t="n">
        <f aca="false">IF(AND(ISNUMBER(E17),ISNUMBER(F17)),IF(E17+F17&gt;0,2*E17*F17/(E17+F17),0),"-")</f>
        <v>48.6734693877551</v>
      </c>
      <c r="H17" s="12" t="n">
        <v>58</v>
      </c>
      <c r="I17" s="12" t="n">
        <v>63</v>
      </c>
      <c r="J17" s="13" t="n">
        <f aca="false">IF(AND(ISNUMBER(H17),ISNUMBER(I17)),IF(H17+I17&gt;0,2*H17*I17/(H17+I17),0),"-")</f>
        <v>60.396694214876</v>
      </c>
      <c r="K17" s="14" t="n">
        <v>34.4</v>
      </c>
      <c r="L17" s="14" t="n">
        <v>29.1</v>
      </c>
      <c r="M17" s="15" t="str">
        <f aca="false">IF(ISNUMBER(G17),IF(G17&gt;=K17,"✓","✗"),"-")</f>
        <v>✓</v>
      </c>
      <c r="N17" s="15" t="str">
        <f aca="false">IF(ISNUMBER(J17),IF(J17&gt;=L17,"✓","✗"),"-")</f>
        <v>✓</v>
      </c>
      <c r="O17" s="12" t="n">
        <v>44</v>
      </c>
    </row>
    <row r="18" customFormat="false" ht="15" hidden="false" customHeight="false" outlineLevel="0" collapsed="false">
      <c r="A18" s="10" t="s">
        <v>17</v>
      </c>
      <c r="B18" s="10" t="s">
        <v>31</v>
      </c>
      <c r="C18" s="11" t="s">
        <v>25</v>
      </c>
      <c r="D18" s="11" t="s">
        <v>24</v>
      </c>
      <c r="E18" s="12" t="n">
        <v>42</v>
      </c>
      <c r="F18" s="12" t="n">
        <v>25</v>
      </c>
      <c r="G18" s="13" t="n">
        <f aca="false">IF(AND(ISNUMBER(E18),ISNUMBER(F18)),IF(E18+F18&gt;0,2*E18*F18/(E18+F18),0),"-")</f>
        <v>31.3432835820896</v>
      </c>
      <c r="H18" s="12" t="n">
        <v>58</v>
      </c>
      <c r="I18" s="12" t="n">
        <v>20</v>
      </c>
      <c r="J18" s="13" t="n">
        <f aca="false">IF(AND(ISNUMBER(H18),ISNUMBER(I18)),IF(H18+I18&gt;0,2*H18*I18/(H18+I18),0),"-")</f>
        <v>29.7435897435897</v>
      </c>
      <c r="K18" s="14" t="n">
        <v>34.4</v>
      </c>
      <c r="L18" s="14" t="n">
        <v>29.1</v>
      </c>
      <c r="M18" s="15" t="str">
        <f aca="false">IF(ISNUMBER(G18),IF(G18&gt;=K18,"✓","✗"),"-")</f>
        <v>✗</v>
      </c>
      <c r="N18" s="15" t="str">
        <f aca="false">IF(ISNUMBER(J18),IF(J18&gt;=L18,"✓","✗"),"-")</f>
        <v>✓</v>
      </c>
      <c r="O18" s="12" t="n">
        <v>44</v>
      </c>
    </row>
    <row r="19" customFormat="false" ht="15" hidden="false" customHeight="false" outlineLevel="0" collapsed="false">
      <c r="A19" s="10" t="s">
        <v>17</v>
      </c>
      <c r="B19" s="10" t="s">
        <v>31</v>
      </c>
      <c r="C19" s="16" t="s">
        <v>26</v>
      </c>
      <c r="D19" s="16" t="s">
        <v>24</v>
      </c>
      <c r="E19" s="12" t="n">
        <v>44</v>
      </c>
      <c r="F19" s="12" t="n">
        <v>53</v>
      </c>
      <c r="G19" s="13" t="n">
        <f aca="false">IF(AND(ISNUMBER(E19),ISNUMBER(F19)),IF(E19+F19&gt;0,2*E19*F19/(E19+F19),0),"-")</f>
        <v>48.0824742268041</v>
      </c>
      <c r="H19" s="12" t="n">
        <v>65</v>
      </c>
      <c r="I19" s="12" t="n">
        <v>61</v>
      </c>
      <c r="J19" s="13" t="n">
        <f aca="false">IF(AND(ISNUMBER(H19),ISNUMBER(I19)),IF(H19+I19&gt;0,2*H19*I19/(H19+I19),0),"-")</f>
        <v>62.9365079365079</v>
      </c>
      <c r="K19" s="14" t="n">
        <v>34.4</v>
      </c>
      <c r="L19" s="14" t="n">
        <v>29.1</v>
      </c>
      <c r="M19" s="15" t="str">
        <f aca="false">IF(ISNUMBER(G19),IF(G19&gt;=K19,"✓","✗"),"-")</f>
        <v>✓</v>
      </c>
      <c r="N19" s="15" t="str">
        <f aca="false">IF(ISNUMBER(J19),IF(J19&gt;=L19,"✓","✗"),"-")</f>
        <v>✓</v>
      </c>
      <c r="O19" s="12" t="n">
        <v>44</v>
      </c>
    </row>
    <row r="20" customFormat="false" ht="15" hidden="false" customHeight="false" outlineLevel="0" collapsed="false">
      <c r="A20" s="10" t="s">
        <v>17</v>
      </c>
      <c r="B20" s="10" t="s">
        <v>31</v>
      </c>
      <c r="C20" s="17" t="s">
        <v>27</v>
      </c>
      <c r="D20" s="17" t="s">
        <v>28</v>
      </c>
      <c r="E20" s="12" t="n">
        <v>52</v>
      </c>
      <c r="F20" s="12" t="n">
        <v>40</v>
      </c>
      <c r="G20" s="13" t="n">
        <f aca="false">IF(AND(ISNUMBER(E20),ISNUMBER(F20)),IF(E20+F20&gt;0,2*E20*F20/(E20+F20),0),"-")</f>
        <v>45.2173913043478</v>
      </c>
      <c r="H20" s="12" t="n">
        <v>46</v>
      </c>
      <c r="I20" s="12" t="n">
        <v>34</v>
      </c>
      <c r="J20" s="13" t="n">
        <f aca="false">IF(AND(ISNUMBER(H20),ISNUMBER(I20)),IF(H20+I20&gt;0,2*H20*I20/(H20+I20),0),"-")</f>
        <v>39.1</v>
      </c>
      <c r="K20" s="14" t="n">
        <v>34.4</v>
      </c>
      <c r="L20" s="14" t="n">
        <v>29.1</v>
      </c>
      <c r="M20" s="15" t="str">
        <f aca="false">IF(ISNUMBER(G20),IF(G20&gt;=K20,"✓","✗"),"-")</f>
        <v>✓</v>
      </c>
      <c r="N20" s="15" t="str">
        <f aca="false">IF(ISNUMBER(J20),IF(J20&gt;=L20,"✓","✗"),"-")</f>
        <v>✓</v>
      </c>
      <c r="O20" s="12" t="n">
        <v>44</v>
      </c>
    </row>
    <row r="21" customFormat="false" ht="15" hidden="false" customHeight="false" outlineLevel="0" collapsed="false">
      <c r="A21" s="10" t="s">
        <v>17</v>
      </c>
      <c r="B21" s="10" t="s">
        <v>31</v>
      </c>
      <c r="C21" s="11" t="s">
        <v>29</v>
      </c>
      <c r="D21" s="11" t="s">
        <v>28</v>
      </c>
      <c r="E21" s="12" t="n">
        <v>28</v>
      </c>
      <c r="F21" s="12" t="n">
        <v>19</v>
      </c>
      <c r="G21" s="13" t="n">
        <f aca="false">IF(AND(ISNUMBER(E21),ISNUMBER(F21)),IF(E21+F21&gt;0,2*E21*F21/(E21+F21),0),"-")</f>
        <v>22.6382978723404</v>
      </c>
      <c r="H21" s="12" t="n">
        <v>54</v>
      </c>
      <c r="I21" s="12" t="n">
        <v>14</v>
      </c>
      <c r="J21" s="13" t="n">
        <f aca="false">IF(AND(ISNUMBER(H21),ISNUMBER(I21)),IF(H21+I21&gt;0,2*H21*I21/(H21+I21),0),"-")</f>
        <v>22.2352941176471</v>
      </c>
      <c r="K21" s="14" t="n">
        <v>34.4</v>
      </c>
      <c r="L21" s="14" t="n">
        <v>29.1</v>
      </c>
      <c r="M21" s="15" t="str">
        <f aca="false">IF(ISNUMBER(G21),IF(G21&gt;=K21,"✓","✗"),"-")</f>
        <v>✗</v>
      </c>
      <c r="N21" s="15" t="str">
        <f aca="false">IF(ISNUMBER(J21),IF(J21&gt;=L21,"✓","✗"),"-")</f>
        <v>✗</v>
      </c>
      <c r="O21" s="12" t="n">
        <v>44</v>
      </c>
    </row>
    <row r="22" customFormat="false" ht="15" hidden="false" customHeight="false" outlineLevel="0" collapsed="false">
      <c r="A22" s="10" t="s">
        <v>17</v>
      </c>
      <c r="B22" s="10" t="s">
        <v>31</v>
      </c>
      <c r="C22" s="16" t="s">
        <v>30</v>
      </c>
      <c r="D22" s="16" t="s">
        <v>28</v>
      </c>
      <c r="E22" s="12" t="n">
        <v>30</v>
      </c>
      <c r="F22" s="12" t="n">
        <v>36</v>
      </c>
      <c r="G22" s="13" t="n">
        <f aca="false">IF(AND(ISNUMBER(E22),ISNUMBER(F22)),IF(E22+F22&gt;0,2*E22*F22/(E22+F22),0),"-")</f>
        <v>32.7272727272727</v>
      </c>
      <c r="H22" s="12" t="n">
        <v>50</v>
      </c>
      <c r="I22" s="12" t="n">
        <v>38</v>
      </c>
      <c r="J22" s="13" t="n">
        <f aca="false">IF(AND(ISNUMBER(H22),ISNUMBER(I22)),IF(H22+I22&gt;0,2*H22*I22/(H22+I22),0),"-")</f>
        <v>43.1818181818182</v>
      </c>
      <c r="K22" s="14" t="n">
        <v>34.4</v>
      </c>
      <c r="L22" s="14" t="n">
        <v>29.1</v>
      </c>
      <c r="M22" s="15" t="str">
        <f aca="false">IF(ISNUMBER(G22),IF(G22&gt;=K22,"✓","✗"),"-")</f>
        <v>✗</v>
      </c>
      <c r="N22" s="15" t="str">
        <f aca="false">IF(ISNUMBER(J22),IF(J22&gt;=L22,"✓","✗"),"-")</f>
        <v>✓</v>
      </c>
      <c r="O22" s="12" t="n">
        <v>44</v>
      </c>
    </row>
    <row r="23" customFormat="false" ht="15" hidden="false" customHeight="false" outlineLevel="0" collapsed="false">
      <c r="A23" s="4" t="s">
        <v>17</v>
      </c>
      <c r="B23" s="4" t="s">
        <v>32</v>
      </c>
      <c r="C23" s="5" t="s">
        <v>19</v>
      </c>
      <c r="D23" s="5" t="s">
        <v>20</v>
      </c>
      <c r="E23" s="6" t="n">
        <v>68</v>
      </c>
      <c r="F23" s="6" t="n">
        <v>46</v>
      </c>
      <c r="G23" s="7" t="n">
        <f aca="false">IF(AND(ISNUMBER(E23),ISNUMBER(F23)),IF(E23+F23&gt;0,2*E23*F23/(E23+F23),0),"-")</f>
        <v>54.8771929824561</v>
      </c>
      <c r="H23" s="6" t="n">
        <v>65</v>
      </c>
      <c r="I23" s="6" t="n">
        <v>73</v>
      </c>
      <c r="J23" s="7" t="n">
        <f aca="false">IF(AND(ISNUMBER(H23),ISNUMBER(I23)),IF(H23+I23&gt;0,2*H23*I23/(H23+I23),0),"-")</f>
        <v>68.768115942029</v>
      </c>
      <c r="K23" s="8" t="n">
        <v>64.8</v>
      </c>
      <c r="L23" s="8" t="n">
        <v>67.9</v>
      </c>
      <c r="M23" s="9" t="str">
        <f aca="false">IF(ISNUMBER(G23),IF(G23&gt;=K23,"✓","✗"),"-")</f>
        <v>✗</v>
      </c>
      <c r="N23" s="9" t="str">
        <f aca="false">IF(ISNUMBER(J23),IF(J23&gt;=L23,"✓","✗"),"-")</f>
        <v>✓</v>
      </c>
      <c r="O23" s="6" t="n">
        <v>44</v>
      </c>
    </row>
    <row r="24" customFormat="false" ht="15" hidden="false" customHeight="false" outlineLevel="0" collapsed="false">
      <c r="A24" s="10" t="s">
        <v>17</v>
      </c>
      <c r="B24" s="10" t="s">
        <v>32</v>
      </c>
      <c r="C24" s="11" t="s">
        <v>21</v>
      </c>
      <c r="D24" s="11" t="s">
        <v>20</v>
      </c>
      <c r="E24" s="12" t="n">
        <v>48</v>
      </c>
      <c r="F24" s="12" t="n">
        <v>37</v>
      </c>
      <c r="G24" s="13" t="n">
        <f aca="false">IF(AND(ISNUMBER(E24),ISNUMBER(F24)),IF(E24+F24&gt;0,2*E24*F24/(E24+F24),0),"-")</f>
        <v>41.7882352941177</v>
      </c>
      <c r="H24" s="12" t="n">
        <v>45</v>
      </c>
      <c r="I24" s="12" t="n">
        <v>60</v>
      </c>
      <c r="J24" s="13" t="n">
        <f aca="false">IF(AND(ISNUMBER(H24),ISNUMBER(I24)),IF(H24+I24&gt;0,2*H24*I24/(H24+I24),0),"-")</f>
        <v>51.4285714285714</v>
      </c>
      <c r="K24" s="14" t="n">
        <v>64.8</v>
      </c>
      <c r="L24" s="14" t="n">
        <v>67.9</v>
      </c>
      <c r="M24" s="15" t="str">
        <f aca="false">IF(ISNUMBER(G24),IF(G24&gt;=K24,"✓","✗"),"-")</f>
        <v>✗</v>
      </c>
      <c r="N24" s="15" t="str">
        <f aca="false">IF(ISNUMBER(J24),IF(J24&gt;=L24,"✓","✗"),"-")</f>
        <v>✗</v>
      </c>
      <c r="O24" s="12" t="n">
        <v>44</v>
      </c>
    </row>
    <row r="25" customFormat="false" ht="15" hidden="false" customHeight="false" outlineLevel="0" collapsed="false">
      <c r="A25" s="10" t="s">
        <v>17</v>
      </c>
      <c r="B25" s="10" t="s">
        <v>32</v>
      </c>
      <c r="C25" s="16" t="s">
        <v>22</v>
      </c>
      <c r="D25" s="16" t="s">
        <v>20</v>
      </c>
      <c r="E25" s="12" t="n">
        <v>55</v>
      </c>
      <c r="F25" s="12" t="n">
        <v>39</v>
      </c>
      <c r="G25" s="13" t="n">
        <f aca="false">IF(AND(ISNUMBER(E25),ISNUMBER(F25)),IF(E25+F25&gt;0,2*E25*F25/(E25+F25),0),"-")</f>
        <v>45.6382978723404</v>
      </c>
      <c r="H25" s="12" t="n">
        <v>61</v>
      </c>
      <c r="I25" s="12" t="n">
        <v>62</v>
      </c>
      <c r="J25" s="13" t="n">
        <f aca="false">IF(AND(ISNUMBER(H25),ISNUMBER(I25)),IF(H25+I25&gt;0,2*H25*I25/(H25+I25),0),"-")</f>
        <v>61.4959349593496</v>
      </c>
      <c r="K25" s="14" t="n">
        <v>64.8</v>
      </c>
      <c r="L25" s="14" t="n">
        <v>67.9</v>
      </c>
      <c r="M25" s="15" t="str">
        <f aca="false">IF(ISNUMBER(G25),IF(G25&gt;=K25,"✓","✗"),"-")</f>
        <v>✗</v>
      </c>
      <c r="N25" s="15" t="str">
        <f aca="false">IF(ISNUMBER(J25),IF(J25&gt;=L25,"✓","✗"),"-")</f>
        <v>✗</v>
      </c>
      <c r="O25" s="12" t="n">
        <v>44</v>
      </c>
    </row>
    <row r="26" customFormat="false" ht="15" hidden="false" customHeight="false" outlineLevel="0" collapsed="false">
      <c r="A26" s="10" t="s">
        <v>17</v>
      </c>
      <c r="B26" s="10" t="s">
        <v>32</v>
      </c>
      <c r="C26" s="17" t="s">
        <v>23</v>
      </c>
      <c r="D26" s="17" t="s">
        <v>24</v>
      </c>
      <c r="E26" s="12" t="n">
        <v>70</v>
      </c>
      <c r="F26" s="12" t="n">
        <v>72</v>
      </c>
      <c r="G26" s="13" t="n">
        <f aca="false">IF(AND(ISNUMBER(E26),ISNUMBER(F26)),IF(E26+F26&gt;0,2*E26*F26/(E26+F26),0),"-")</f>
        <v>70.9859154929577</v>
      </c>
      <c r="H26" s="12" t="n">
        <v>47</v>
      </c>
      <c r="I26" s="12" t="n">
        <v>85</v>
      </c>
      <c r="J26" s="13" t="n">
        <f aca="false">IF(AND(ISNUMBER(H26),ISNUMBER(I26)),IF(H26+I26&gt;0,2*H26*I26/(H26+I26),0),"-")</f>
        <v>60.530303030303</v>
      </c>
      <c r="K26" s="14" t="n">
        <v>64.8</v>
      </c>
      <c r="L26" s="14" t="n">
        <v>67.9</v>
      </c>
      <c r="M26" s="15" t="str">
        <f aca="false">IF(ISNUMBER(G26),IF(G26&gt;=K26,"✓","✗"),"-")</f>
        <v>✓</v>
      </c>
      <c r="N26" s="15" t="str">
        <f aca="false">IF(ISNUMBER(J26),IF(J26&gt;=L26,"✓","✗"),"-")</f>
        <v>✗</v>
      </c>
      <c r="O26" s="12" t="n">
        <v>44</v>
      </c>
    </row>
    <row r="27" customFormat="false" ht="15" hidden="false" customHeight="false" outlineLevel="0" collapsed="false">
      <c r="A27" s="10" t="s">
        <v>17</v>
      </c>
      <c r="B27" s="10" t="s">
        <v>32</v>
      </c>
      <c r="C27" s="11" t="s">
        <v>25</v>
      </c>
      <c r="D27" s="11" t="s">
        <v>24</v>
      </c>
      <c r="E27" s="12" t="n">
        <v>67</v>
      </c>
      <c r="F27" s="12" t="n">
        <v>12</v>
      </c>
      <c r="G27" s="13" t="n">
        <f aca="false">IF(AND(ISNUMBER(E27),ISNUMBER(F27)),IF(E27+F27&gt;0,2*E27*F27/(E27+F27),0),"-")</f>
        <v>20.3544303797468</v>
      </c>
      <c r="H27" s="12" t="n">
        <v>47</v>
      </c>
      <c r="I27" s="12" t="n">
        <v>19</v>
      </c>
      <c r="J27" s="13" t="n">
        <f aca="false">IF(AND(ISNUMBER(H27),ISNUMBER(I27)),IF(H27+I27&gt;0,2*H27*I27/(H27+I27),0),"-")</f>
        <v>27.0606060606061</v>
      </c>
      <c r="K27" s="14" t="n">
        <v>64.8</v>
      </c>
      <c r="L27" s="14" t="n">
        <v>67.9</v>
      </c>
      <c r="M27" s="15" t="str">
        <f aca="false">IF(ISNUMBER(G27),IF(G27&gt;=K27,"✓","✗"),"-")</f>
        <v>✗</v>
      </c>
      <c r="N27" s="15" t="str">
        <f aca="false">IF(ISNUMBER(J27),IF(J27&gt;=L27,"✓","✗"),"-")</f>
        <v>✗</v>
      </c>
      <c r="O27" s="12" t="n">
        <v>44</v>
      </c>
    </row>
    <row r="28" customFormat="false" ht="15" hidden="false" customHeight="false" outlineLevel="0" collapsed="false">
      <c r="A28" s="10" t="s">
        <v>17</v>
      </c>
      <c r="B28" s="10" t="s">
        <v>32</v>
      </c>
      <c r="C28" s="16" t="s">
        <v>26</v>
      </c>
      <c r="D28" s="16" t="s">
        <v>24</v>
      </c>
      <c r="E28" s="12" t="n">
        <v>73</v>
      </c>
      <c r="F28" s="12" t="n">
        <v>75</v>
      </c>
      <c r="G28" s="13" t="n">
        <f aca="false">IF(AND(ISNUMBER(E28),ISNUMBER(F28)),IF(E28+F28&gt;0,2*E28*F28/(E28+F28),0),"-")</f>
        <v>73.9864864864865</v>
      </c>
      <c r="H28" s="12" t="n">
        <v>69</v>
      </c>
      <c r="I28" s="12" t="n">
        <v>85</v>
      </c>
      <c r="J28" s="13" t="n">
        <f aca="false">IF(AND(ISNUMBER(H28),ISNUMBER(I28)),IF(H28+I28&gt;0,2*H28*I28/(H28+I28),0),"-")</f>
        <v>76.1688311688312</v>
      </c>
      <c r="K28" s="14" t="n">
        <v>64.8</v>
      </c>
      <c r="L28" s="14" t="n">
        <v>67.9</v>
      </c>
      <c r="M28" s="15" t="str">
        <f aca="false">IF(ISNUMBER(G28),IF(G28&gt;=K28,"✓","✗"),"-")</f>
        <v>✓</v>
      </c>
      <c r="N28" s="15" t="str">
        <f aca="false">IF(ISNUMBER(J28),IF(J28&gt;=L28,"✓","✗"),"-")</f>
        <v>✓</v>
      </c>
      <c r="O28" s="12" t="n">
        <v>44</v>
      </c>
    </row>
    <row r="29" customFormat="false" ht="15" hidden="false" customHeight="false" outlineLevel="0" collapsed="false">
      <c r="A29" s="10" t="s">
        <v>17</v>
      </c>
      <c r="B29" s="10" t="s">
        <v>32</v>
      </c>
      <c r="C29" s="17" t="s">
        <v>27</v>
      </c>
      <c r="D29" s="17" t="s">
        <v>28</v>
      </c>
      <c r="E29" s="12" t="n">
        <v>64</v>
      </c>
      <c r="F29" s="12" t="n">
        <v>81</v>
      </c>
      <c r="G29" s="13" t="n">
        <f aca="false">IF(AND(ISNUMBER(E29),ISNUMBER(F29)),IF(E29+F29&gt;0,2*E29*F29/(E29+F29),0),"-")</f>
        <v>71.5034482758621</v>
      </c>
      <c r="H29" s="12" t="n">
        <v>33</v>
      </c>
      <c r="I29" s="12" t="n">
        <v>71</v>
      </c>
      <c r="J29" s="13" t="n">
        <f aca="false">IF(AND(ISNUMBER(H29),ISNUMBER(I29)),IF(H29+I29&gt;0,2*H29*I29/(H29+I29),0),"-")</f>
        <v>45.0576923076923</v>
      </c>
      <c r="K29" s="14" t="n">
        <v>64.8</v>
      </c>
      <c r="L29" s="14" t="n">
        <v>67.9</v>
      </c>
      <c r="M29" s="15" t="str">
        <f aca="false">IF(ISNUMBER(G29),IF(G29&gt;=K29,"✓","✗"),"-")</f>
        <v>✓</v>
      </c>
      <c r="N29" s="15" t="str">
        <f aca="false">IF(ISNUMBER(J29),IF(J29&gt;=L29,"✓","✗"),"-")</f>
        <v>✗</v>
      </c>
      <c r="O29" s="12" t="n">
        <v>44</v>
      </c>
    </row>
    <row r="30" customFormat="false" ht="15" hidden="false" customHeight="false" outlineLevel="0" collapsed="false">
      <c r="A30" s="10" t="s">
        <v>17</v>
      </c>
      <c r="B30" s="10" t="s">
        <v>32</v>
      </c>
      <c r="C30" s="11" t="s">
        <v>29</v>
      </c>
      <c r="D30" s="11" t="s">
        <v>28</v>
      </c>
      <c r="E30" s="12" t="n">
        <v>55</v>
      </c>
      <c r="F30" s="12" t="n">
        <v>42</v>
      </c>
      <c r="G30" s="13" t="n">
        <f aca="false">IF(AND(ISNUMBER(E30),ISNUMBER(F30)),IF(E30+F30&gt;0,2*E30*F30/(E30+F30),0),"-")</f>
        <v>47.6288659793814</v>
      </c>
      <c r="H30" s="12" t="n">
        <v>27</v>
      </c>
      <c r="I30" s="12" t="n">
        <v>74</v>
      </c>
      <c r="J30" s="13" t="n">
        <f aca="false">IF(AND(ISNUMBER(H30),ISNUMBER(I30)),IF(H30+I30&gt;0,2*H30*I30/(H30+I30),0),"-")</f>
        <v>39.5643564356436</v>
      </c>
      <c r="K30" s="14" t="n">
        <v>64.8</v>
      </c>
      <c r="L30" s="14" t="n">
        <v>67.9</v>
      </c>
      <c r="M30" s="15" t="str">
        <f aca="false">IF(ISNUMBER(G30),IF(G30&gt;=K30,"✓","✗"),"-")</f>
        <v>✗</v>
      </c>
      <c r="N30" s="15" t="str">
        <f aca="false">IF(ISNUMBER(J30),IF(J30&gt;=L30,"✓","✗"),"-")</f>
        <v>✗</v>
      </c>
      <c r="O30" s="12" t="n">
        <v>44</v>
      </c>
    </row>
    <row r="31" customFormat="false" ht="15" hidden="false" customHeight="false" outlineLevel="0" collapsed="false">
      <c r="A31" s="10" t="s">
        <v>17</v>
      </c>
      <c r="B31" s="10" t="s">
        <v>32</v>
      </c>
      <c r="C31" s="16" t="s">
        <v>30</v>
      </c>
      <c r="D31" s="16" t="s">
        <v>28</v>
      </c>
      <c r="E31" s="12" t="n">
        <v>66</v>
      </c>
      <c r="F31" s="12" t="n">
        <v>53</v>
      </c>
      <c r="G31" s="13" t="n">
        <f aca="false">IF(AND(ISNUMBER(E31),ISNUMBER(F31)),IF(E31+F31&gt;0,2*E31*F31/(E31+F31),0),"-")</f>
        <v>58.7899159663866</v>
      </c>
      <c r="H31" s="12" t="n">
        <v>45</v>
      </c>
      <c r="I31" s="12" t="n">
        <v>71</v>
      </c>
      <c r="J31" s="13" t="n">
        <f aca="false">IF(AND(ISNUMBER(H31),ISNUMBER(I31)),IF(H31+I31&gt;0,2*H31*I31/(H31+I31),0),"-")</f>
        <v>55.0862068965517</v>
      </c>
      <c r="K31" s="14" t="n">
        <v>64.8</v>
      </c>
      <c r="L31" s="14" t="n">
        <v>67.9</v>
      </c>
      <c r="M31" s="15" t="str">
        <f aca="false">IF(ISNUMBER(G31),IF(G31&gt;=K31,"✓","✗"),"-")</f>
        <v>✗</v>
      </c>
      <c r="N31" s="15" t="str">
        <f aca="false">IF(ISNUMBER(J31),IF(J31&gt;=L31,"✓","✗"),"-")</f>
        <v>✗</v>
      </c>
      <c r="O31" s="12" t="n">
        <v>44</v>
      </c>
    </row>
    <row r="32" customFormat="false" ht="15" hidden="false" customHeight="false" outlineLevel="0" collapsed="false">
      <c r="A32" s="4" t="s">
        <v>17</v>
      </c>
      <c r="B32" s="4" t="s">
        <v>33</v>
      </c>
      <c r="C32" s="5" t="s">
        <v>19</v>
      </c>
      <c r="D32" s="5" t="s">
        <v>20</v>
      </c>
      <c r="E32" s="6" t="n">
        <v>100</v>
      </c>
      <c r="F32" s="6" t="n">
        <v>95</v>
      </c>
      <c r="G32" s="7" t="n">
        <f aca="false">IF(AND(ISNUMBER(E32),ISNUMBER(F32)),IF(E32+F32&gt;0,2*E32*F32/(E32+F32),0),"-")</f>
        <v>97.4358974358974</v>
      </c>
      <c r="H32" s="6" t="n">
        <v>100</v>
      </c>
      <c r="I32" s="6" t="n">
        <v>44</v>
      </c>
      <c r="J32" s="7" t="n">
        <f aca="false">IF(AND(ISNUMBER(H32),ISNUMBER(I32)),IF(H32+I32&gt;0,2*H32*I32/(H32+I32),0),"-")</f>
        <v>61.1111111111111</v>
      </c>
      <c r="K32" s="8" t="n">
        <v>92.2</v>
      </c>
      <c r="L32" s="8" t="n">
        <v>100</v>
      </c>
      <c r="M32" s="9" t="str">
        <f aca="false">IF(ISNUMBER(G32),IF(G32&gt;=K32,"✓","✗"),"-")</f>
        <v>✓</v>
      </c>
      <c r="N32" s="9" t="str">
        <f aca="false">IF(ISNUMBER(J32),IF(J32&gt;=L32,"✓","✗"),"-")</f>
        <v>✗</v>
      </c>
      <c r="O32" s="6" t="n">
        <v>44</v>
      </c>
    </row>
    <row r="33" customFormat="false" ht="15" hidden="false" customHeight="false" outlineLevel="0" collapsed="false">
      <c r="A33" s="10" t="s">
        <v>17</v>
      </c>
      <c r="B33" s="10" t="s">
        <v>33</v>
      </c>
      <c r="C33" s="11" t="s">
        <v>21</v>
      </c>
      <c r="D33" s="11" t="s">
        <v>20</v>
      </c>
      <c r="E33" s="12" t="n">
        <v>99</v>
      </c>
      <c r="F33" s="12" t="n">
        <v>97</v>
      </c>
      <c r="G33" s="13" t="n">
        <f aca="false">IF(AND(ISNUMBER(E33),ISNUMBER(F33)),IF(E33+F33&gt;0,2*E33*F33/(E33+F33),0),"-")</f>
        <v>97.9897959183674</v>
      </c>
      <c r="H33" s="12" t="n">
        <v>100</v>
      </c>
      <c r="I33" s="12" t="n">
        <v>71</v>
      </c>
      <c r="J33" s="13" t="n">
        <f aca="false">IF(AND(ISNUMBER(H33),ISNUMBER(I33)),IF(H33+I33&gt;0,2*H33*I33/(H33+I33),0),"-")</f>
        <v>83.0409356725146</v>
      </c>
      <c r="K33" s="14" t="n">
        <v>92.2</v>
      </c>
      <c r="L33" s="14" t="n">
        <v>100</v>
      </c>
      <c r="M33" s="15" t="str">
        <f aca="false">IF(ISNUMBER(G33),IF(G33&gt;=K33,"✓","✗"),"-")</f>
        <v>✓</v>
      </c>
      <c r="N33" s="15" t="str">
        <f aca="false">IF(ISNUMBER(J33),IF(J33&gt;=L33,"✓","✗"),"-")</f>
        <v>✗</v>
      </c>
      <c r="O33" s="12" t="n">
        <v>44</v>
      </c>
    </row>
    <row r="34" customFormat="false" ht="15" hidden="false" customHeight="false" outlineLevel="0" collapsed="false">
      <c r="A34" s="10" t="s">
        <v>17</v>
      </c>
      <c r="B34" s="10" t="s">
        <v>33</v>
      </c>
      <c r="C34" s="16" t="s">
        <v>22</v>
      </c>
      <c r="D34" s="16" t="s">
        <v>20</v>
      </c>
      <c r="E34" s="12" t="n">
        <v>99</v>
      </c>
      <c r="F34" s="12" t="n">
        <v>97</v>
      </c>
      <c r="G34" s="13" t="n">
        <f aca="false">IF(AND(ISNUMBER(E34),ISNUMBER(F34)),IF(E34+F34&gt;0,2*E34*F34/(E34+F34),0),"-")</f>
        <v>97.9897959183674</v>
      </c>
      <c r="H34" s="12" t="n">
        <v>100</v>
      </c>
      <c r="I34" s="12" t="n">
        <v>67</v>
      </c>
      <c r="J34" s="13" t="n">
        <f aca="false">IF(AND(ISNUMBER(H34),ISNUMBER(I34)),IF(H34+I34&gt;0,2*H34*I34/(H34+I34),0),"-")</f>
        <v>80.2395209580838</v>
      </c>
      <c r="K34" s="14" t="n">
        <v>92.2</v>
      </c>
      <c r="L34" s="14" t="n">
        <v>100</v>
      </c>
      <c r="M34" s="15" t="str">
        <f aca="false">IF(ISNUMBER(G34),IF(G34&gt;=K34,"✓","✗"),"-")</f>
        <v>✓</v>
      </c>
      <c r="N34" s="15" t="str">
        <f aca="false">IF(ISNUMBER(J34),IF(J34&gt;=L34,"✓","✗"),"-")</f>
        <v>✗</v>
      </c>
      <c r="O34" s="12" t="n">
        <v>44</v>
      </c>
    </row>
    <row r="35" customFormat="false" ht="15" hidden="false" customHeight="false" outlineLevel="0" collapsed="false">
      <c r="A35" s="10" t="s">
        <v>17</v>
      </c>
      <c r="B35" s="10" t="s">
        <v>33</v>
      </c>
      <c r="C35" s="17" t="s">
        <v>23</v>
      </c>
      <c r="D35" s="17" t="s">
        <v>24</v>
      </c>
      <c r="E35" s="12" t="n">
        <v>100</v>
      </c>
      <c r="F35" s="12" t="n">
        <v>94</v>
      </c>
      <c r="G35" s="13" t="n">
        <f aca="false">IF(AND(ISNUMBER(E35),ISNUMBER(F35)),IF(E35+F35&gt;0,2*E35*F35/(E35+F35),0),"-")</f>
        <v>96.9072164948454</v>
      </c>
      <c r="H35" s="12" t="n">
        <v>100</v>
      </c>
      <c r="I35" s="12" t="n">
        <v>36</v>
      </c>
      <c r="J35" s="13" t="n">
        <f aca="false">IF(AND(ISNUMBER(H35),ISNUMBER(I35)),IF(H35+I35&gt;0,2*H35*I35/(H35+I35),0),"-")</f>
        <v>52.9411764705882</v>
      </c>
      <c r="K35" s="14" t="n">
        <v>92.2</v>
      </c>
      <c r="L35" s="14" t="n">
        <v>100</v>
      </c>
      <c r="M35" s="15" t="str">
        <f aca="false">IF(ISNUMBER(G35),IF(G35&gt;=K35,"✓","✗"),"-")</f>
        <v>✓</v>
      </c>
      <c r="N35" s="15" t="str">
        <f aca="false">IF(ISNUMBER(J35),IF(J35&gt;=L35,"✓","✗"),"-")</f>
        <v>✗</v>
      </c>
      <c r="O35" s="12" t="n">
        <v>44</v>
      </c>
    </row>
    <row r="36" customFormat="false" ht="15" hidden="false" customHeight="false" outlineLevel="0" collapsed="false">
      <c r="A36" s="10" t="s">
        <v>17</v>
      </c>
      <c r="B36" s="10" t="s">
        <v>33</v>
      </c>
      <c r="C36" s="11" t="s">
        <v>25</v>
      </c>
      <c r="D36" s="11" t="s">
        <v>24</v>
      </c>
      <c r="E36" s="12" t="n">
        <v>62</v>
      </c>
      <c r="F36" s="12" t="n">
        <v>98</v>
      </c>
      <c r="G36" s="13" t="n">
        <f aca="false">IF(AND(ISNUMBER(E36),ISNUMBER(F36)),IF(E36+F36&gt;0,2*E36*F36/(E36+F36),0),"-")</f>
        <v>75.95</v>
      </c>
      <c r="H36" s="12" t="n">
        <v>75</v>
      </c>
      <c r="I36" s="12" t="n">
        <v>100</v>
      </c>
      <c r="J36" s="13" t="n">
        <f aca="false">IF(AND(ISNUMBER(H36),ISNUMBER(I36)),IF(H36+I36&gt;0,2*H36*I36/(H36+I36),0),"-")</f>
        <v>85.7142857142857</v>
      </c>
      <c r="K36" s="14" t="n">
        <v>92.2</v>
      </c>
      <c r="L36" s="14" t="n">
        <v>100</v>
      </c>
      <c r="M36" s="15" t="str">
        <f aca="false">IF(ISNUMBER(G36),IF(G36&gt;=K36,"✓","✗"),"-")</f>
        <v>✗</v>
      </c>
      <c r="N36" s="15" t="str">
        <f aca="false">IF(ISNUMBER(J36),IF(J36&gt;=L36,"✓","✗"),"-")</f>
        <v>✗</v>
      </c>
      <c r="O36" s="12" t="n">
        <v>44</v>
      </c>
    </row>
    <row r="37" customFormat="false" ht="15" hidden="false" customHeight="false" outlineLevel="0" collapsed="false">
      <c r="A37" s="10" t="s">
        <v>17</v>
      </c>
      <c r="B37" s="10" t="s">
        <v>33</v>
      </c>
      <c r="C37" s="16" t="s">
        <v>26</v>
      </c>
      <c r="D37" s="16" t="s">
        <v>24</v>
      </c>
      <c r="E37" s="12" t="n">
        <v>99</v>
      </c>
      <c r="F37" s="12" t="n">
        <v>100</v>
      </c>
      <c r="G37" s="13" t="n">
        <f aca="false">IF(AND(ISNUMBER(E37),ISNUMBER(F37)),IF(E37+F37&gt;0,2*E37*F37/(E37+F37),0),"-")</f>
        <v>99.4974874371859</v>
      </c>
      <c r="H37" s="12" t="n">
        <v>100</v>
      </c>
      <c r="I37" s="12" t="n">
        <v>100</v>
      </c>
      <c r="J37" s="13" t="n">
        <f aca="false">IF(AND(ISNUMBER(H37),ISNUMBER(I37)),IF(H37+I37&gt;0,2*H37*I37/(H37+I37),0),"-")</f>
        <v>100</v>
      </c>
      <c r="K37" s="14" t="n">
        <v>92.2</v>
      </c>
      <c r="L37" s="14" t="n">
        <v>100</v>
      </c>
      <c r="M37" s="15" t="str">
        <f aca="false">IF(ISNUMBER(G37),IF(G37&gt;=K37,"✓","✗"),"-")</f>
        <v>✓</v>
      </c>
      <c r="N37" s="15" t="str">
        <f aca="false">IF(ISNUMBER(J37),IF(J37&gt;=L37,"✓","✗"),"-")</f>
        <v>✓</v>
      </c>
      <c r="O37" s="12" t="n">
        <v>44</v>
      </c>
    </row>
    <row r="38" customFormat="false" ht="15" hidden="false" customHeight="false" outlineLevel="0" collapsed="false">
      <c r="A38" s="10" t="s">
        <v>17</v>
      </c>
      <c r="B38" s="10" t="s">
        <v>33</v>
      </c>
      <c r="C38" s="17" t="s">
        <v>27</v>
      </c>
      <c r="D38" s="17" t="s">
        <v>28</v>
      </c>
      <c r="E38" s="12" t="n">
        <v>94</v>
      </c>
      <c r="F38" s="12" t="n">
        <v>92</v>
      </c>
      <c r="G38" s="13" t="n">
        <f aca="false">IF(AND(ISNUMBER(E38),ISNUMBER(F38)),IF(E38+F38&gt;0,2*E38*F38/(E38+F38),0),"-")</f>
        <v>92.989247311828</v>
      </c>
      <c r="H38" s="12" t="n">
        <v>100</v>
      </c>
      <c r="I38" s="12" t="n">
        <v>67</v>
      </c>
      <c r="J38" s="13" t="n">
        <f aca="false">IF(AND(ISNUMBER(H38),ISNUMBER(I38)),IF(H38+I38&gt;0,2*H38*I38/(H38+I38),0),"-")</f>
        <v>80.2395209580838</v>
      </c>
      <c r="K38" s="14" t="n">
        <v>92.2</v>
      </c>
      <c r="L38" s="14" t="n">
        <v>100</v>
      </c>
      <c r="M38" s="15" t="str">
        <f aca="false">IF(ISNUMBER(G38),IF(G38&gt;=K38,"✓","✗"),"-")</f>
        <v>✓</v>
      </c>
      <c r="N38" s="15" t="str">
        <f aca="false">IF(ISNUMBER(J38),IF(J38&gt;=L38,"✓","✗"),"-")</f>
        <v>✗</v>
      </c>
      <c r="O38" s="12" t="n">
        <v>44</v>
      </c>
    </row>
    <row r="39" customFormat="false" ht="15" hidden="false" customHeight="false" outlineLevel="0" collapsed="false">
      <c r="A39" s="10" t="s">
        <v>17</v>
      </c>
      <c r="B39" s="10" t="s">
        <v>33</v>
      </c>
      <c r="C39" s="11" t="s">
        <v>29</v>
      </c>
      <c r="D39" s="11" t="s">
        <v>28</v>
      </c>
      <c r="E39" s="12" t="n">
        <v>100</v>
      </c>
      <c r="F39" s="12" t="n">
        <v>99</v>
      </c>
      <c r="G39" s="13" t="n">
        <f aca="false">IF(AND(ISNUMBER(E39),ISNUMBER(F39)),IF(E39+F39&gt;0,2*E39*F39/(E39+F39),0),"-")</f>
        <v>99.4974874371859</v>
      </c>
      <c r="H39" s="12" t="n">
        <v>100</v>
      </c>
      <c r="I39" s="12" t="n">
        <v>100</v>
      </c>
      <c r="J39" s="13" t="n">
        <f aca="false">IF(AND(ISNUMBER(H39),ISNUMBER(I39)),IF(H39+I39&gt;0,2*H39*I39/(H39+I39),0),"-")</f>
        <v>100</v>
      </c>
      <c r="K39" s="14" t="n">
        <v>92.2</v>
      </c>
      <c r="L39" s="14" t="n">
        <v>100</v>
      </c>
      <c r="M39" s="15" t="str">
        <f aca="false">IF(ISNUMBER(G39),IF(G39&gt;=K39,"✓","✗"),"-")</f>
        <v>✓</v>
      </c>
      <c r="N39" s="15" t="str">
        <f aca="false">IF(ISNUMBER(J39),IF(J39&gt;=L39,"✓","✗"),"-")</f>
        <v>✓</v>
      </c>
      <c r="O39" s="12" t="n">
        <v>44</v>
      </c>
    </row>
    <row r="40" customFormat="false" ht="15" hidden="false" customHeight="false" outlineLevel="0" collapsed="false">
      <c r="A40" s="10" t="s">
        <v>17</v>
      </c>
      <c r="B40" s="10" t="s">
        <v>33</v>
      </c>
      <c r="C40" s="16" t="s">
        <v>30</v>
      </c>
      <c r="D40" s="16" t="s">
        <v>28</v>
      </c>
      <c r="E40" s="12" t="n">
        <v>91</v>
      </c>
      <c r="F40" s="12" t="n">
        <v>99</v>
      </c>
      <c r="G40" s="13" t="n">
        <f aca="false">IF(AND(ISNUMBER(E40),ISNUMBER(F40)),IF(E40+F40&gt;0,2*E40*F40/(E40+F40),0),"-")</f>
        <v>94.8315789473684</v>
      </c>
      <c r="H40" s="12" t="n">
        <v>100</v>
      </c>
      <c r="I40" s="12" t="n">
        <v>100</v>
      </c>
      <c r="J40" s="13" t="n">
        <f aca="false">IF(AND(ISNUMBER(H40),ISNUMBER(I40)),IF(H40+I40&gt;0,2*H40*I40/(H40+I40),0),"-")</f>
        <v>100</v>
      </c>
      <c r="K40" s="14" t="n">
        <v>92.2</v>
      </c>
      <c r="L40" s="14" t="n">
        <v>100</v>
      </c>
      <c r="M40" s="15" t="str">
        <f aca="false">IF(ISNUMBER(G40),IF(G40&gt;=K40,"✓","✗"),"-")</f>
        <v>✓</v>
      </c>
      <c r="N40" s="15" t="str">
        <f aca="false">IF(ISNUMBER(J40),IF(J40&gt;=L40,"✓","✗"),"-")</f>
        <v>✓</v>
      </c>
      <c r="O40" s="12" t="n">
        <v>44</v>
      </c>
    </row>
    <row r="41" customFormat="false" ht="15" hidden="false" customHeight="false" outlineLevel="0" collapsed="false">
      <c r="A41" s="4" t="s">
        <v>34</v>
      </c>
      <c r="B41" s="4" t="s">
        <v>18</v>
      </c>
      <c r="C41" s="5" t="s">
        <v>19</v>
      </c>
      <c r="D41" s="5" t="s">
        <v>20</v>
      </c>
      <c r="E41" s="6" t="n">
        <v>96</v>
      </c>
      <c r="F41" s="6" t="n">
        <v>99</v>
      </c>
      <c r="G41" s="7" t="n">
        <f aca="false">IF(AND(ISNUMBER(E41),ISNUMBER(F41)),IF(E41+F41&gt;0,2*E41*F41/(E41+F41),0),"-")</f>
        <v>97.4769230769231</v>
      </c>
      <c r="H41" s="6" t="n">
        <v>93</v>
      </c>
      <c r="I41" s="6" t="n">
        <v>92</v>
      </c>
      <c r="J41" s="7" t="n">
        <f aca="false">IF(AND(ISNUMBER(H41),ISNUMBER(I41)),IF(H41+I41&gt;0,2*H41*I41/(H41+I41),0),"-")</f>
        <v>92.4972972972973</v>
      </c>
      <c r="K41" s="8" t="n">
        <v>97.5</v>
      </c>
      <c r="L41" s="8" t="n">
        <v>86.6</v>
      </c>
      <c r="M41" s="9" t="str">
        <f aca="false">IF(ISNUMBER(G41),IF(G41&gt;=K41,"✓","✗"),"-")</f>
        <v>✗</v>
      </c>
      <c r="N41" s="9" t="str">
        <f aca="false">IF(ISNUMBER(J41),IF(J41&gt;=L41,"✓","✗"),"-")</f>
        <v>✓</v>
      </c>
      <c r="O41" s="6" t="n">
        <v>23</v>
      </c>
    </row>
    <row r="42" customFormat="false" ht="15" hidden="false" customHeight="false" outlineLevel="0" collapsed="false">
      <c r="A42" s="10" t="s">
        <v>34</v>
      </c>
      <c r="B42" s="10" t="s">
        <v>18</v>
      </c>
      <c r="C42" s="11" t="s">
        <v>21</v>
      </c>
      <c r="D42" s="11" t="s">
        <v>20</v>
      </c>
      <c r="E42" s="12" t="n">
        <v>91</v>
      </c>
      <c r="F42" s="12" t="n">
        <v>99</v>
      </c>
      <c r="G42" s="13" t="n">
        <f aca="false">IF(AND(ISNUMBER(E42),ISNUMBER(F42)),IF(E42+F42&gt;0,2*E42*F42/(E42+F42),0),"-")</f>
        <v>94.8315789473684</v>
      </c>
      <c r="H42" s="12" t="n">
        <v>91</v>
      </c>
      <c r="I42" s="12" t="n">
        <v>96</v>
      </c>
      <c r="J42" s="13" t="n">
        <f aca="false">IF(AND(ISNUMBER(H42),ISNUMBER(I42)),IF(H42+I42&gt;0,2*H42*I42/(H42+I42),0),"-")</f>
        <v>93.4331550802139</v>
      </c>
      <c r="K42" s="14" t="n">
        <v>97.5</v>
      </c>
      <c r="L42" s="14" t="n">
        <v>86.6</v>
      </c>
      <c r="M42" s="15" t="str">
        <f aca="false">IF(ISNUMBER(G42),IF(G42&gt;=K42,"✓","✗"),"-")</f>
        <v>✗</v>
      </c>
      <c r="N42" s="15" t="str">
        <f aca="false">IF(ISNUMBER(J42),IF(J42&gt;=L42,"✓","✗"),"-")</f>
        <v>✓</v>
      </c>
      <c r="O42" s="12" t="n">
        <v>23</v>
      </c>
    </row>
    <row r="43" customFormat="false" ht="15" hidden="false" customHeight="false" outlineLevel="0" collapsed="false">
      <c r="A43" s="10" t="s">
        <v>34</v>
      </c>
      <c r="B43" s="10" t="s">
        <v>18</v>
      </c>
      <c r="C43" s="16" t="s">
        <v>22</v>
      </c>
      <c r="D43" s="16" t="s">
        <v>20</v>
      </c>
      <c r="E43" s="12" t="n">
        <v>91</v>
      </c>
      <c r="F43" s="12" t="n">
        <v>99</v>
      </c>
      <c r="G43" s="13" t="n">
        <f aca="false">IF(AND(ISNUMBER(E43),ISNUMBER(F43)),IF(E43+F43&gt;0,2*E43*F43/(E43+F43),0),"-")</f>
        <v>94.8315789473684</v>
      </c>
      <c r="H43" s="12" t="n">
        <v>93</v>
      </c>
      <c r="I43" s="12" t="n">
        <v>95</v>
      </c>
      <c r="J43" s="13" t="n">
        <f aca="false">IF(AND(ISNUMBER(H43),ISNUMBER(I43)),IF(H43+I43&gt;0,2*H43*I43/(H43+I43),0),"-")</f>
        <v>93.9893617021277</v>
      </c>
      <c r="K43" s="14" t="n">
        <v>97.5</v>
      </c>
      <c r="L43" s="14" t="n">
        <v>86.6</v>
      </c>
      <c r="M43" s="15" t="str">
        <f aca="false">IF(ISNUMBER(G43),IF(G43&gt;=K43,"✓","✗"),"-")</f>
        <v>✗</v>
      </c>
      <c r="N43" s="15" t="str">
        <f aca="false">IF(ISNUMBER(J43),IF(J43&gt;=L43,"✓","✗"),"-")</f>
        <v>✓</v>
      </c>
      <c r="O43" s="12" t="n">
        <v>23</v>
      </c>
    </row>
    <row r="44" customFormat="false" ht="15" hidden="false" customHeight="false" outlineLevel="0" collapsed="false">
      <c r="A44" s="10" t="s">
        <v>34</v>
      </c>
      <c r="B44" s="10" t="s">
        <v>18</v>
      </c>
      <c r="C44" s="17" t="s">
        <v>23</v>
      </c>
      <c r="D44" s="17" t="s">
        <v>24</v>
      </c>
      <c r="E44" s="12" t="n">
        <v>98</v>
      </c>
      <c r="F44" s="12" t="n">
        <v>99</v>
      </c>
      <c r="G44" s="13" t="n">
        <f aca="false">IF(AND(ISNUMBER(E44),ISNUMBER(F44)),IF(E44+F44&gt;0,2*E44*F44/(E44+F44),0),"-")</f>
        <v>98.497461928934</v>
      </c>
      <c r="H44" s="12" t="n">
        <v>92</v>
      </c>
      <c r="I44" s="12" t="n">
        <v>89</v>
      </c>
      <c r="J44" s="13" t="n">
        <f aca="false">IF(AND(ISNUMBER(H44),ISNUMBER(I44)),IF(H44+I44&gt;0,2*H44*I44/(H44+I44),0),"-")</f>
        <v>90.475138121547</v>
      </c>
      <c r="K44" s="14" t="n">
        <v>97.5</v>
      </c>
      <c r="L44" s="14" t="n">
        <v>86.6</v>
      </c>
      <c r="M44" s="15" t="str">
        <f aca="false">IF(ISNUMBER(G44),IF(G44&gt;=K44,"✓","✗"),"-")</f>
        <v>✓</v>
      </c>
      <c r="N44" s="15" t="str">
        <f aca="false">IF(ISNUMBER(J44),IF(J44&gt;=L44,"✓","✗"),"-")</f>
        <v>✓</v>
      </c>
      <c r="O44" s="12" t="n">
        <v>23</v>
      </c>
    </row>
    <row r="45" customFormat="false" ht="15" hidden="false" customHeight="false" outlineLevel="0" collapsed="false">
      <c r="A45" s="10" t="s">
        <v>34</v>
      </c>
      <c r="B45" s="10" t="s">
        <v>18</v>
      </c>
      <c r="C45" s="11" t="s">
        <v>25</v>
      </c>
      <c r="D45" s="11" t="s">
        <v>24</v>
      </c>
      <c r="E45" s="12" t="n">
        <v>95</v>
      </c>
      <c r="F45" s="12" t="n">
        <v>99</v>
      </c>
      <c r="G45" s="13" t="n">
        <f aca="false">IF(AND(ISNUMBER(E45),ISNUMBER(F45)),IF(E45+F45&gt;0,2*E45*F45/(E45+F45),0),"-")</f>
        <v>96.9587628865979</v>
      </c>
      <c r="H45" s="12" t="n">
        <v>92</v>
      </c>
      <c r="I45" s="12" t="n">
        <v>91</v>
      </c>
      <c r="J45" s="13" t="n">
        <f aca="false">IF(AND(ISNUMBER(H45),ISNUMBER(I45)),IF(H45+I45&gt;0,2*H45*I45/(H45+I45),0),"-")</f>
        <v>91.4972677595629</v>
      </c>
      <c r="K45" s="14" t="n">
        <v>97.5</v>
      </c>
      <c r="L45" s="14" t="n">
        <v>86.6</v>
      </c>
      <c r="M45" s="15" t="str">
        <f aca="false">IF(ISNUMBER(G45),IF(G45&gt;=K45,"✓","✗"),"-")</f>
        <v>✗</v>
      </c>
      <c r="N45" s="15" t="str">
        <f aca="false">IF(ISNUMBER(J45),IF(J45&gt;=L45,"✓","✗"),"-")</f>
        <v>✓</v>
      </c>
      <c r="O45" s="12" t="n">
        <v>23</v>
      </c>
    </row>
    <row r="46" customFormat="false" ht="15" hidden="false" customHeight="false" outlineLevel="0" collapsed="false">
      <c r="A46" s="10" t="s">
        <v>34</v>
      </c>
      <c r="B46" s="10" t="s">
        <v>18</v>
      </c>
      <c r="C46" s="16" t="s">
        <v>26</v>
      </c>
      <c r="D46" s="16" t="s">
        <v>24</v>
      </c>
      <c r="E46" s="12" t="n">
        <v>97</v>
      </c>
      <c r="F46" s="12" t="n">
        <v>99</v>
      </c>
      <c r="G46" s="13" t="n">
        <f aca="false">IF(AND(ISNUMBER(E46),ISNUMBER(F46)),IF(E46+F46&gt;0,2*E46*F46/(E46+F46),0),"-")</f>
        <v>97.9897959183674</v>
      </c>
      <c r="H46" s="12" t="n">
        <v>93</v>
      </c>
      <c r="I46" s="12" t="n">
        <v>90</v>
      </c>
      <c r="J46" s="13" t="n">
        <f aca="false">IF(AND(ISNUMBER(H46),ISNUMBER(I46)),IF(H46+I46&gt;0,2*H46*I46/(H46+I46),0),"-")</f>
        <v>91.4754098360656</v>
      </c>
      <c r="K46" s="14" t="n">
        <v>97.5</v>
      </c>
      <c r="L46" s="14" t="n">
        <v>86.6</v>
      </c>
      <c r="M46" s="15" t="str">
        <f aca="false">IF(ISNUMBER(G46),IF(G46&gt;=K46,"✓","✗"),"-")</f>
        <v>✓</v>
      </c>
      <c r="N46" s="15" t="str">
        <f aca="false">IF(ISNUMBER(J46),IF(J46&gt;=L46,"✓","✗"),"-")</f>
        <v>✓</v>
      </c>
      <c r="O46" s="12" t="n">
        <v>23</v>
      </c>
    </row>
    <row r="47" customFormat="false" ht="15" hidden="false" customHeight="false" outlineLevel="0" collapsed="false">
      <c r="A47" s="10" t="s">
        <v>34</v>
      </c>
      <c r="B47" s="10" t="s">
        <v>18</v>
      </c>
      <c r="C47" s="17" t="s">
        <v>27</v>
      </c>
      <c r="D47" s="17" t="s">
        <v>28</v>
      </c>
      <c r="E47" s="12" t="n">
        <v>97</v>
      </c>
      <c r="F47" s="12" t="n">
        <v>99</v>
      </c>
      <c r="G47" s="13" t="n">
        <f aca="false">IF(AND(ISNUMBER(E47),ISNUMBER(F47)),IF(E47+F47&gt;0,2*E47*F47/(E47+F47),0),"-")</f>
        <v>97.9897959183674</v>
      </c>
      <c r="H47" s="12" t="n">
        <v>91</v>
      </c>
      <c r="I47" s="12" t="n">
        <v>91</v>
      </c>
      <c r="J47" s="13" t="n">
        <f aca="false">IF(AND(ISNUMBER(H47),ISNUMBER(I47)),IF(H47+I47&gt;0,2*H47*I47/(H47+I47),0),"-")</f>
        <v>91</v>
      </c>
      <c r="K47" s="14" t="n">
        <v>97.5</v>
      </c>
      <c r="L47" s="14" t="n">
        <v>86.6</v>
      </c>
      <c r="M47" s="15" t="str">
        <f aca="false">IF(ISNUMBER(G47),IF(G47&gt;=K47,"✓","✗"),"-")</f>
        <v>✓</v>
      </c>
      <c r="N47" s="15" t="str">
        <f aca="false">IF(ISNUMBER(J47),IF(J47&gt;=L47,"✓","✗"),"-")</f>
        <v>✓</v>
      </c>
      <c r="O47" s="12" t="n">
        <v>23</v>
      </c>
    </row>
    <row r="48" customFormat="false" ht="15" hidden="false" customHeight="false" outlineLevel="0" collapsed="false">
      <c r="A48" s="10" t="s">
        <v>34</v>
      </c>
      <c r="B48" s="10" t="s">
        <v>18</v>
      </c>
      <c r="C48" s="11" t="s">
        <v>29</v>
      </c>
      <c r="D48" s="11" t="s">
        <v>28</v>
      </c>
      <c r="E48" s="12" t="n">
        <v>95</v>
      </c>
      <c r="F48" s="12" t="n">
        <v>99</v>
      </c>
      <c r="G48" s="13" t="n">
        <f aca="false">IF(AND(ISNUMBER(E48),ISNUMBER(F48)),IF(E48+F48&gt;0,2*E48*F48/(E48+F48),0),"-")</f>
        <v>96.9587628865979</v>
      </c>
      <c r="H48" s="12" t="n">
        <v>92</v>
      </c>
      <c r="I48" s="12" t="n">
        <v>92</v>
      </c>
      <c r="J48" s="13" t="n">
        <f aca="false">IF(AND(ISNUMBER(H48),ISNUMBER(I48)),IF(H48+I48&gt;0,2*H48*I48/(H48+I48),0),"-")</f>
        <v>92</v>
      </c>
      <c r="K48" s="14" t="n">
        <v>97.5</v>
      </c>
      <c r="L48" s="14" t="n">
        <v>86.6</v>
      </c>
      <c r="M48" s="15" t="str">
        <f aca="false">IF(ISNUMBER(G48),IF(G48&gt;=K48,"✓","✗"),"-")</f>
        <v>✗</v>
      </c>
      <c r="N48" s="15" t="str">
        <f aca="false">IF(ISNUMBER(J48),IF(J48&gt;=L48,"✓","✗"),"-")</f>
        <v>✓</v>
      </c>
      <c r="O48" s="12" t="n">
        <v>23</v>
      </c>
    </row>
    <row r="49" customFormat="false" ht="15" hidden="false" customHeight="false" outlineLevel="0" collapsed="false">
      <c r="A49" s="10" t="s">
        <v>34</v>
      </c>
      <c r="B49" s="10" t="s">
        <v>18</v>
      </c>
      <c r="C49" s="16" t="s">
        <v>30</v>
      </c>
      <c r="D49" s="16" t="s">
        <v>28</v>
      </c>
      <c r="E49" s="12" t="n">
        <v>98</v>
      </c>
      <c r="F49" s="12" t="n">
        <v>99</v>
      </c>
      <c r="G49" s="13" t="n">
        <f aca="false">IF(AND(ISNUMBER(E49),ISNUMBER(F49)),IF(E49+F49&gt;0,2*E49*F49/(E49+F49),0),"-")</f>
        <v>98.497461928934</v>
      </c>
      <c r="H49" s="12" t="n">
        <v>92</v>
      </c>
      <c r="I49" s="12" t="n">
        <v>89</v>
      </c>
      <c r="J49" s="13" t="n">
        <f aca="false">IF(AND(ISNUMBER(H49),ISNUMBER(I49)),IF(H49+I49&gt;0,2*H49*I49/(H49+I49),0),"-")</f>
        <v>90.475138121547</v>
      </c>
      <c r="K49" s="14" t="n">
        <v>97.5</v>
      </c>
      <c r="L49" s="14" t="n">
        <v>86.6</v>
      </c>
      <c r="M49" s="15" t="str">
        <f aca="false">IF(ISNUMBER(G49),IF(G49&gt;=K49,"✓","✗"),"-")</f>
        <v>✓</v>
      </c>
      <c r="N49" s="15" t="str">
        <f aca="false">IF(ISNUMBER(J49),IF(J49&gt;=L49,"✓","✗"),"-")</f>
        <v>✓</v>
      </c>
      <c r="O49" s="12" t="n">
        <v>23</v>
      </c>
    </row>
    <row r="50" customFormat="false" ht="15" hidden="false" customHeight="false" outlineLevel="0" collapsed="false">
      <c r="A50" s="4" t="s">
        <v>35</v>
      </c>
      <c r="B50" s="4" t="s">
        <v>31</v>
      </c>
      <c r="C50" s="5" t="s">
        <v>19</v>
      </c>
      <c r="D50" s="5" t="s">
        <v>20</v>
      </c>
      <c r="E50" s="6" t="n">
        <v>6</v>
      </c>
      <c r="F50" s="6" t="n">
        <v>2</v>
      </c>
      <c r="G50" s="7" t="n">
        <f aca="false">IF(AND(ISNUMBER(E50),ISNUMBER(F50)),IF(E50+F50&gt;0,2*E50*F50/(E50+F50),0),"-")</f>
        <v>3</v>
      </c>
      <c r="H50" s="6" t="n">
        <v>9</v>
      </c>
      <c r="I50" s="6" t="n">
        <v>15</v>
      </c>
      <c r="J50" s="7" t="n">
        <f aca="false">IF(AND(ISNUMBER(H50),ISNUMBER(I50)),IF(H50+I50&gt;0,2*H50*I50/(H50+I50),0),"-")</f>
        <v>11.25</v>
      </c>
      <c r="K50" s="5" t="s">
        <v>36</v>
      </c>
      <c r="L50" s="5" t="s">
        <v>36</v>
      </c>
      <c r="M50" s="5" t="s">
        <v>36</v>
      </c>
      <c r="N50" s="5" t="s">
        <v>36</v>
      </c>
      <c r="O50" s="6" t="n">
        <v>90</v>
      </c>
    </row>
    <row r="51" customFormat="false" ht="15" hidden="false" customHeight="false" outlineLevel="0" collapsed="false">
      <c r="A51" s="10" t="s">
        <v>35</v>
      </c>
      <c r="B51" s="10" t="s">
        <v>31</v>
      </c>
      <c r="C51" s="11" t="s">
        <v>21</v>
      </c>
      <c r="D51" s="11" t="s">
        <v>20</v>
      </c>
      <c r="E51" s="12" t="n">
        <v>5</v>
      </c>
      <c r="F51" s="12" t="n">
        <v>2</v>
      </c>
      <c r="G51" s="13" t="n">
        <f aca="false">IF(AND(ISNUMBER(E51),ISNUMBER(F51)),IF(E51+F51&gt;0,2*E51*F51/(E51+F51),0),"-")</f>
        <v>2.85714285714286</v>
      </c>
      <c r="H51" s="12" t="n">
        <v>9</v>
      </c>
      <c r="I51" s="12" t="n">
        <v>2</v>
      </c>
      <c r="J51" s="13" t="n">
        <f aca="false">IF(AND(ISNUMBER(H51),ISNUMBER(I51)),IF(H51+I51&gt;0,2*H51*I51/(H51+I51),0),"-")</f>
        <v>3.27272727272727</v>
      </c>
      <c r="K51" s="17" t="s">
        <v>36</v>
      </c>
      <c r="L51" s="17" t="s">
        <v>36</v>
      </c>
      <c r="M51" s="17" t="s">
        <v>36</v>
      </c>
      <c r="N51" s="17" t="s">
        <v>36</v>
      </c>
      <c r="O51" s="12" t="n">
        <v>90</v>
      </c>
    </row>
    <row r="52" customFormat="false" ht="15" hidden="false" customHeight="false" outlineLevel="0" collapsed="false">
      <c r="A52" s="10" t="s">
        <v>35</v>
      </c>
      <c r="B52" s="10" t="s">
        <v>31</v>
      </c>
      <c r="C52" s="16" t="s">
        <v>22</v>
      </c>
      <c r="D52" s="16" t="s">
        <v>20</v>
      </c>
      <c r="E52" s="12" t="n">
        <v>3</v>
      </c>
      <c r="F52" s="12" t="n">
        <v>1</v>
      </c>
      <c r="G52" s="13" t="n">
        <f aca="false">IF(AND(ISNUMBER(E52),ISNUMBER(F52)),IF(E52+F52&gt;0,2*E52*F52/(E52+F52),0),"-")</f>
        <v>1.5</v>
      </c>
      <c r="H52" s="12" t="n">
        <v>5</v>
      </c>
      <c r="I52" s="12" t="n">
        <v>1</v>
      </c>
      <c r="J52" s="13" t="n">
        <f aca="false">IF(AND(ISNUMBER(H52),ISNUMBER(I52)),IF(H52+I52&gt;0,2*H52*I52/(H52+I52),0),"-")</f>
        <v>1.66666666666667</v>
      </c>
      <c r="K52" s="17" t="s">
        <v>36</v>
      </c>
      <c r="L52" s="17" t="s">
        <v>36</v>
      </c>
      <c r="M52" s="17" t="s">
        <v>36</v>
      </c>
      <c r="N52" s="17" t="s">
        <v>36</v>
      </c>
      <c r="O52" s="12" t="n">
        <v>90</v>
      </c>
    </row>
    <row r="53" customFormat="false" ht="15" hidden="false" customHeight="false" outlineLevel="0" collapsed="false">
      <c r="A53" s="10" t="s">
        <v>35</v>
      </c>
      <c r="B53" s="10" t="s">
        <v>31</v>
      </c>
      <c r="C53" s="17" t="s">
        <v>23</v>
      </c>
      <c r="D53" s="17" t="s">
        <v>24</v>
      </c>
      <c r="E53" s="12" t="n">
        <v>0</v>
      </c>
      <c r="F53" s="12" t="n">
        <v>0</v>
      </c>
      <c r="G53" s="13" t="n">
        <f aca="false">IF(AND(ISNUMBER(E53),ISNUMBER(F53)),IF(E53+F53&gt;0,2*E53*F53/(E53+F53),0),"-")</f>
        <v>0</v>
      </c>
      <c r="H53" s="12" t="n">
        <v>0</v>
      </c>
      <c r="I53" s="12" t="n">
        <v>0</v>
      </c>
      <c r="J53" s="13" t="n">
        <f aca="false">IF(AND(ISNUMBER(H53),ISNUMBER(I53)),IF(H53+I53&gt;0,2*H53*I53/(H53+I53),0),"-")</f>
        <v>0</v>
      </c>
      <c r="K53" s="17" t="s">
        <v>36</v>
      </c>
      <c r="L53" s="17" t="s">
        <v>36</v>
      </c>
      <c r="M53" s="17" t="s">
        <v>36</v>
      </c>
      <c r="N53" s="17" t="s">
        <v>36</v>
      </c>
      <c r="O53" s="12" t="n">
        <v>90</v>
      </c>
    </row>
    <row r="54" customFormat="false" ht="15" hidden="false" customHeight="false" outlineLevel="0" collapsed="false">
      <c r="A54" s="10" t="s">
        <v>35</v>
      </c>
      <c r="B54" s="10" t="s">
        <v>31</v>
      </c>
      <c r="C54" s="11" t="s">
        <v>25</v>
      </c>
      <c r="D54" s="11" t="s">
        <v>24</v>
      </c>
      <c r="E54" s="12" t="n">
        <v>6</v>
      </c>
      <c r="F54" s="12" t="n">
        <v>0</v>
      </c>
      <c r="G54" s="13" t="n">
        <f aca="false">IF(AND(ISNUMBER(E54),ISNUMBER(F54)),IF(E54+F54&gt;0,2*E54*F54/(E54+F54),0),"-")</f>
        <v>0</v>
      </c>
      <c r="H54" s="12" t="n">
        <v>9</v>
      </c>
      <c r="I54" s="12" t="n">
        <v>1</v>
      </c>
      <c r="J54" s="13" t="n">
        <f aca="false">IF(AND(ISNUMBER(H54),ISNUMBER(I54)),IF(H54+I54&gt;0,2*H54*I54/(H54+I54),0),"-")</f>
        <v>1.8</v>
      </c>
      <c r="K54" s="17" t="s">
        <v>36</v>
      </c>
      <c r="L54" s="17" t="s">
        <v>36</v>
      </c>
      <c r="M54" s="17" t="s">
        <v>36</v>
      </c>
      <c r="N54" s="17" t="s">
        <v>36</v>
      </c>
      <c r="O54" s="12" t="n">
        <v>90</v>
      </c>
    </row>
    <row r="55" customFormat="false" ht="15" hidden="false" customHeight="false" outlineLevel="0" collapsed="false">
      <c r="A55" s="10" t="s">
        <v>35</v>
      </c>
      <c r="B55" s="10" t="s">
        <v>31</v>
      </c>
      <c r="C55" s="16" t="s">
        <v>26</v>
      </c>
      <c r="D55" s="16" t="s">
        <v>24</v>
      </c>
      <c r="E55" s="12" t="n">
        <v>0</v>
      </c>
      <c r="F55" s="12" t="n">
        <v>0</v>
      </c>
      <c r="G55" s="13" t="n">
        <f aca="false">IF(AND(ISNUMBER(E55),ISNUMBER(F55)),IF(E55+F55&gt;0,2*E55*F55/(E55+F55),0),"-")</f>
        <v>0</v>
      </c>
      <c r="H55" s="12" t="n">
        <v>0</v>
      </c>
      <c r="I55" s="12" t="n">
        <v>0</v>
      </c>
      <c r="J55" s="13" t="n">
        <f aca="false">IF(AND(ISNUMBER(H55),ISNUMBER(I55)),IF(H55+I55&gt;0,2*H55*I55/(H55+I55),0),"-")</f>
        <v>0</v>
      </c>
      <c r="K55" s="17" t="s">
        <v>36</v>
      </c>
      <c r="L55" s="17" t="s">
        <v>36</v>
      </c>
      <c r="M55" s="17" t="s">
        <v>36</v>
      </c>
      <c r="N55" s="17" t="s">
        <v>36</v>
      </c>
      <c r="O55" s="12" t="n">
        <v>90</v>
      </c>
    </row>
    <row r="56" customFormat="false" ht="15" hidden="false" customHeight="false" outlineLevel="0" collapsed="false">
      <c r="A56" s="10" t="s">
        <v>35</v>
      </c>
      <c r="B56" s="10" t="s">
        <v>31</v>
      </c>
      <c r="C56" s="17" t="s">
        <v>27</v>
      </c>
      <c r="D56" s="17" t="s">
        <v>28</v>
      </c>
      <c r="E56" s="12" t="n">
        <v>0</v>
      </c>
      <c r="F56" s="12" t="n">
        <v>0</v>
      </c>
      <c r="G56" s="13" t="n">
        <f aca="false">IF(AND(ISNUMBER(E56),ISNUMBER(F56)),IF(E56+F56&gt;0,2*E56*F56/(E56+F56),0),"-")</f>
        <v>0</v>
      </c>
      <c r="H56" s="12" t="n">
        <v>0</v>
      </c>
      <c r="I56" s="12" t="n">
        <v>0</v>
      </c>
      <c r="J56" s="13" t="n">
        <f aca="false">IF(AND(ISNUMBER(H56),ISNUMBER(I56)),IF(H56+I56&gt;0,2*H56*I56/(H56+I56),0),"-")</f>
        <v>0</v>
      </c>
      <c r="K56" s="17" t="s">
        <v>36</v>
      </c>
      <c r="L56" s="17" t="s">
        <v>36</v>
      </c>
      <c r="M56" s="17" t="s">
        <v>36</v>
      </c>
      <c r="N56" s="17" t="s">
        <v>36</v>
      </c>
      <c r="O56" s="12" t="n">
        <v>90</v>
      </c>
    </row>
    <row r="57" customFormat="false" ht="15" hidden="false" customHeight="false" outlineLevel="0" collapsed="false">
      <c r="A57" s="10" t="s">
        <v>35</v>
      </c>
      <c r="B57" s="10" t="s">
        <v>31</v>
      </c>
      <c r="C57" s="11" t="s">
        <v>29</v>
      </c>
      <c r="D57" s="11" t="s">
        <v>28</v>
      </c>
      <c r="E57" s="12" t="n">
        <v>3</v>
      </c>
      <c r="F57" s="12" t="n">
        <v>0</v>
      </c>
      <c r="G57" s="13" t="n">
        <f aca="false">IF(AND(ISNUMBER(E57),ISNUMBER(F57)),IF(E57+F57&gt;0,2*E57*F57/(E57+F57),0),"-")</f>
        <v>0</v>
      </c>
      <c r="H57" s="12" t="n">
        <v>9</v>
      </c>
      <c r="I57" s="12" t="n">
        <v>1</v>
      </c>
      <c r="J57" s="13" t="n">
        <f aca="false">IF(AND(ISNUMBER(H57),ISNUMBER(I57)),IF(H57+I57&gt;0,2*H57*I57/(H57+I57),0),"-")</f>
        <v>1.8</v>
      </c>
      <c r="K57" s="17" t="s">
        <v>36</v>
      </c>
      <c r="L57" s="17" t="s">
        <v>36</v>
      </c>
      <c r="M57" s="17" t="s">
        <v>36</v>
      </c>
      <c r="N57" s="17" t="s">
        <v>36</v>
      </c>
      <c r="O57" s="12" t="n">
        <v>90</v>
      </c>
    </row>
    <row r="58" customFormat="false" ht="15" hidden="false" customHeight="false" outlineLevel="0" collapsed="false">
      <c r="A58" s="10" t="s">
        <v>35</v>
      </c>
      <c r="B58" s="10" t="s">
        <v>31</v>
      </c>
      <c r="C58" s="16" t="s">
        <v>30</v>
      </c>
      <c r="D58" s="16" t="s">
        <v>28</v>
      </c>
      <c r="E58" s="12" t="n">
        <v>0</v>
      </c>
      <c r="F58" s="12" t="n">
        <v>0</v>
      </c>
      <c r="G58" s="13" t="n">
        <f aca="false">IF(AND(ISNUMBER(E58),ISNUMBER(F58)),IF(E58+F58&gt;0,2*E58*F58/(E58+F58),0),"-")</f>
        <v>0</v>
      </c>
      <c r="H58" s="12" t="n">
        <v>0</v>
      </c>
      <c r="I58" s="12" t="n">
        <v>0</v>
      </c>
      <c r="J58" s="13" t="n">
        <f aca="false">IF(AND(ISNUMBER(H58),ISNUMBER(I58)),IF(H58+I58&gt;0,2*H58*I58/(H58+I58),0),"-")</f>
        <v>0</v>
      </c>
      <c r="K58" s="17" t="s">
        <v>36</v>
      </c>
      <c r="L58" s="17" t="s">
        <v>36</v>
      </c>
      <c r="M58" s="17" t="s">
        <v>36</v>
      </c>
      <c r="N58" s="17" t="s">
        <v>36</v>
      </c>
      <c r="O58" s="12" t="n">
        <v>90</v>
      </c>
    </row>
    <row r="59" customFormat="false" ht="15" hidden="false" customHeight="false" outlineLevel="0" collapsed="false">
      <c r="A59" s="4" t="s">
        <v>35</v>
      </c>
      <c r="B59" s="4" t="s">
        <v>32</v>
      </c>
      <c r="C59" s="5" t="s">
        <v>19</v>
      </c>
      <c r="D59" s="5" t="s">
        <v>20</v>
      </c>
      <c r="E59" s="6" t="n">
        <v>62</v>
      </c>
      <c r="F59" s="6" t="n">
        <v>97</v>
      </c>
      <c r="G59" s="7" t="n">
        <f aca="false">IF(AND(ISNUMBER(E59),ISNUMBER(F59)),IF(E59+F59&gt;0,2*E59*F59/(E59+F59),0),"-")</f>
        <v>75.6477987421384</v>
      </c>
      <c r="H59" s="6" t="n">
        <v>69</v>
      </c>
      <c r="I59" s="6" t="n">
        <v>100</v>
      </c>
      <c r="J59" s="7" t="n">
        <f aca="false">IF(AND(ISNUMBER(H59),ISNUMBER(I59)),IF(H59+I59&gt;0,2*H59*I59/(H59+I59),0),"-")</f>
        <v>81.6568047337278</v>
      </c>
      <c r="K59" s="5" t="s">
        <v>36</v>
      </c>
      <c r="L59" s="5" t="s">
        <v>36</v>
      </c>
      <c r="M59" s="5" t="s">
        <v>36</v>
      </c>
      <c r="N59" s="5" t="s">
        <v>36</v>
      </c>
      <c r="O59" s="6" t="n">
        <v>90</v>
      </c>
    </row>
    <row r="60" customFormat="false" ht="15" hidden="false" customHeight="false" outlineLevel="0" collapsed="false">
      <c r="A60" s="10" t="s">
        <v>35</v>
      </c>
      <c r="B60" s="10" t="s">
        <v>32</v>
      </c>
      <c r="C60" s="11" t="s">
        <v>21</v>
      </c>
      <c r="D60" s="11" t="s">
        <v>20</v>
      </c>
      <c r="E60" s="12" t="n">
        <v>17</v>
      </c>
      <c r="F60" s="12" t="n">
        <v>93</v>
      </c>
      <c r="G60" s="13" t="n">
        <f aca="false">IF(AND(ISNUMBER(E60),ISNUMBER(F60)),IF(E60+F60&gt;0,2*E60*F60/(E60+F60),0),"-")</f>
        <v>28.7454545454545</v>
      </c>
      <c r="H60" s="12" t="n">
        <v>27</v>
      </c>
      <c r="I60" s="12" t="n">
        <v>96</v>
      </c>
      <c r="J60" s="13" t="n">
        <f aca="false">IF(AND(ISNUMBER(H60),ISNUMBER(I60)),IF(H60+I60&gt;0,2*H60*I60/(H60+I60),0),"-")</f>
        <v>42.1463414634146</v>
      </c>
      <c r="K60" s="17" t="s">
        <v>36</v>
      </c>
      <c r="L60" s="17" t="s">
        <v>36</v>
      </c>
      <c r="M60" s="17" t="s">
        <v>36</v>
      </c>
      <c r="N60" s="17" t="s">
        <v>36</v>
      </c>
      <c r="O60" s="12" t="n">
        <v>90</v>
      </c>
    </row>
    <row r="61" customFormat="false" ht="15" hidden="false" customHeight="false" outlineLevel="0" collapsed="false">
      <c r="A61" s="10" t="s">
        <v>35</v>
      </c>
      <c r="B61" s="10" t="s">
        <v>32</v>
      </c>
      <c r="C61" s="16" t="s">
        <v>22</v>
      </c>
      <c r="D61" s="16" t="s">
        <v>20</v>
      </c>
      <c r="E61" s="12" t="n">
        <v>26</v>
      </c>
      <c r="F61" s="12" t="n">
        <v>95</v>
      </c>
      <c r="G61" s="13" t="n">
        <f aca="false">IF(AND(ISNUMBER(E61),ISNUMBER(F61)),IF(E61+F61&gt;0,2*E61*F61/(E61+F61),0),"-")</f>
        <v>40.8264462809917</v>
      </c>
      <c r="H61" s="12" t="n">
        <v>39</v>
      </c>
      <c r="I61" s="12" t="n">
        <v>97</v>
      </c>
      <c r="J61" s="13" t="n">
        <f aca="false">IF(AND(ISNUMBER(H61),ISNUMBER(I61)),IF(H61+I61&gt;0,2*H61*I61/(H61+I61),0),"-")</f>
        <v>55.6323529411765</v>
      </c>
      <c r="K61" s="17" t="s">
        <v>36</v>
      </c>
      <c r="L61" s="17" t="s">
        <v>36</v>
      </c>
      <c r="M61" s="17" t="s">
        <v>36</v>
      </c>
      <c r="N61" s="17" t="s">
        <v>36</v>
      </c>
      <c r="O61" s="12" t="n">
        <v>90</v>
      </c>
    </row>
    <row r="62" customFormat="false" ht="15" hidden="false" customHeight="false" outlineLevel="0" collapsed="false">
      <c r="A62" s="10" t="s">
        <v>35</v>
      </c>
      <c r="B62" s="10" t="s">
        <v>32</v>
      </c>
      <c r="C62" s="17" t="s">
        <v>23</v>
      </c>
      <c r="D62" s="17" t="s">
        <v>24</v>
      </c>
      <c r="E62" s="12" t="n">
        <v>46</v>
      </c>
      <c r="F62" s="12" t="n">
        <v>97</v>
      </c>
      <c r="G62" s="13" t="n">
        <f aca="false">IF(AND(ISNUMBER(E62),ISNUMBER(F62)),IF(E62+F62&gt;0,2*E62*F62/(E62+F62),0),"-")</f>
        <v>62.4055944055944</v>
      </c>
      <c r="H62" s="12" t="n">
        <v>44</v>
      </c>
      <c r="I62" s="12" t="n">
        <v>100</v>
      </c>
      <c r="J62" s="13" t="n">
        <f aca="false">IF(AND(ISNUMBER(H62),ISNUMBER(I62)),IF(H62+I62&gt;0,2*H62*I62/(H62+I62),0),"-")</f>
        <v>61.1111111111111</v>
      </c>
      <c r="K62" s="17" t="s">
        <v>36</v>
      </c>
      <c r="L62" s="17" t="s">
        <v>36</v>
      </c>
      <c r="M62" s="17" t="s">
        <v>36</v>
      </c>
      <c r="N62" s="17" t="s">
        <v>36</v>
      </c>
      <c r="O62" s="12" t="n">
        <v>90</v>
      </c>
    </row>
    <row r="63" customFormat="false" ht="15" hidden="false" customHeight="false" outlineLevel="0" collapsed="false">
      <c r="A63" s="10" t="s">
        <v>35</v>
      </c>
      <c r="B63" s="10" t="s">
        <v>32</v>
      </c>
      <c r="C63" s="11" t="s">
        <v>25</v>
      </c>
      <c r="D63" s="11" t="s">
        <v>24</v>
      </c>
      <c r="E63" s="12" t="n">
        <v>29</v>
      </c>
      <c r="F63" s="12" t="n">
        <v>4</v>
      </c>
      <c r="G63" s="13" t="n">
        <f aca="false">IF(AND(ISNUMBER(E63),ISNUMBER(F63)),IF(E63+F63&gt;0,2*E63*F63/(E63+F63),0),"-")</f>
        <v>7.03030303030303</v>
      </c>
      <c r="H63" s="12" t="n">
        <v>39</v>
      </c>
      <c r="I63" s="12" t="n">
        <v>15</v>
      </c>
      <c r="J63" s="13" t="n">
        <f aca="false">IF(AND(ISNUMBER(H63),ISNUMBER(I63)),IF(H63+I63&gt;0,2*H63*I63/(H63+I63),0),"-")</f>
        <v>21.6666666666667</v>
      </c>
      <c r="K63" s="17" t="s">
        <v>36</v>
      </c>
      <c r="L63" s="17" t="s">
        <v>36</v>
      </c>
      <c r="M63" s="17" t="s">
        <v>36</v>
      </c>
      <c r="N63" s="17" t="s">
        <v>36</v>
      </c>
      <c r="O63" s="12" t="n">
        <v>90</v>
      </c>
    </row>
    <row r="64" customFormat="false" ht="15" hidden="false" customHeight="false" outlineLevel="0" collapsed="false">
      <c r="A64" s="10" t="s">
        <v>35</v>
      </c>
      <c r="B64" s="10" t="s">
        <v>32</v>
      </c>
      <c r="C64" s="16" t="s">
        <v>26</v>
      </c>
      <c r="D64" s="16" t="s">
        <v>24</v>
      </c>
      <c r="E64" s="12" t="n">
        <v>51</v>
      </c>
      <c r="F64" s="12" t="n">
        <v>97</v>
      </c>
      <c r="G64" s="13" t="n">
        <f aca="false">IF(AND(ISNUMBER(E64),ISNUMBER(F64)),IF(E64+F64&gt;0,2*E64*F64/(E64+F64),0),"-")</f>
        <v>66.8513513513514</v>
      </c>
      <c r="H64" s="12" t="n">
        <v>61</v>
      </c>
      <c r="I64" s="12" t="n">
        <v>100</v>
      </c>
      <c r="J64" s="13" t="n">
        <f aca="false">IF(AND(ISNUMBER(H64),ISNUMBER(I64)),IF(H64+I64&gt;0,2*H64*I64/(H64+I64),0),"-")</f>
        <v>75.776397515528</v>
      </c>
      <c r="K64" s="17" t="s">
        <v>36</v>
      </c>
      <c r="L64" s="17" t="s">
        <v>36</v>
      </c>
      <c r="M64" s="17" t="s">
        <v>36</v>
      </c>
      <c r="N64" s="17" t="s">
        <v>36</v>
      </c>
      <c r="O64" s="12" t="n">
        <v>90</v>
      </c>
    </row>
    <row r="65" customFormat="false" ht="15" hidden="false" customHeight="false" outlineLevel="0" collapsed="false">
      <c r="A65" s="10" t="s">
        <v>35</v>
      </c>
      <c r="B65" s="10" t="s">
        <v>32</v>
      </c>
      <c r="C65" s="17" t="s">
        <v>27</v>
      </c>
      <c r="D65" s="17" t="s">
        <v>28</v>
      </c>
      <c r="E65" s="12" t="n">
        <v>22</v>
      </c>
      <c r="F65" s="12" t="n">
        <v>82</v>
      </c>
      <c r="G65" s="13" t="n">
        <f aca="false">IF(AND(ISNUMBER(E65),ISNUMBER(F65)),IF(E65+F65&gt;0,2*E65*F65/(E65+F65),0),"-")</f>
        <v>34.6923076923077</v>
      </c>
      <c r="H65" s="12" t="n">
        <v>18</v>
      </c>
      <c r="I65" s="12" t="n">
        <v>92</v>
      </c>
      <c r="J65" s="13" t="n">
        <f aca="false">IF(AND(ISNUMBER(H65),ISNUMBER(I65)),IF(H65+I65&gt;0,2*H65*I65/(H65+I65),0),"-")</f>
        <v>30.1090909090909</v>
      </c>
      <c r="K65" s="17" t="s">
        <v>36</v>
      </c>
      <c r="L65" s="17" t="s">
        <v>36</v>
      </c>
      <c r="M65" s="17" t="s">
        <v>36</v>
      </c>
      <c r="N65" s="17" t="s">
        <v>36</v>
      </c>
      <c r="O65" s="12" t="n">
        <v>90</v>
      </c>
    </row>
    <row r="66" customFormat="false" ht="15" hidden="false" customHeight="false" outlineLevel="0" collapsed="false">
      <c r="A66" s="10" t="s">
        <v>35</v>
      </c>
      <c r="B66" s="10" t="s">
        <v>32</v>
      </c>
      <c r="C66" s="11" t="s">
        <v>29</v>
      </c>
      <c r="D66" s="11" t="s">
        <v>28</v>
      </c>
      <c r="E66" s="12" t="n">
        <v>15</v>
      </c>
      <c r="F66" s="12" t="n">
        <v>48</v>
      </c>
      <c r="G66" s="13" t="n">
        <f aca="false">IF(AND(ISNUMBER(E66),ISNUMBER(F66)),IF(E66+F66&gt;0,2*E66*F66/(E66+F66),0),"-")</f>
        <v>22.8571428571429</v>
      </c>
      <c r="H66" s="12" t="n">
        <v>15</v>
      </c>
      <c r="I66" s="12" t="n">
        <v>82</v>
      </c>
      <c r="J66" s="13" t="n">
        <f aca="false">IF(AND(ISNUMBER(H66),ISNUMBER(I66)),IF(H66+I66&gt;0,2*H66*I66/(H66+I66),0),"-")</f>
        <v>25.360824742268</v>
      </c>
      <c r="K66" s="17" t="s">
        <v>36</v>
      </c>
      <c r="L66" s="17" t="s">
        <v>36</v>
      </c>
      <c r="M66" s="17" t="s">
        <v>36</v>
      </c>
      <c r="N66" s="17" t="s">
        <v>36</v>
      </c>
      <c r="O66" s="12" t="n">
        <v>90</v>
      </c>
    </row>
    <row r="67" customFormat="false" ht="15" hidden="false" customHeight="false" outlineLevel="0" collapsed="false">
      <c r="A67" s="10" t="s">
        <v>35</v>
      </c>
      <c r="B67" s="10" t="s">
        <v>32</v>
      </c>
      <c r="C67" s="16" t="s">
        <v>30</v>
      </c>
      <c r="D67" s="16" t="s">
        <v>28</v>
      </c>
      <c r="E67" s="12" t="n">
        <v>22</v>
      </c>
      <c r="F67" s="12" t="n">
        <v>63</v>
      </c>
      <c r="G67" s="13" t="n">
        <f aca="false">IF(AND(ISNUMBER(E67),ISNUMBER(F67)),IF(E67+F67&gt;0,2*E67*F67/(E67+F67),0),"-")</f>
        <v>32.6117647058824</v>
      </c>
      <c r="H67" s="12" t="n">
        <v>25</v>
      </c>
      <c r="I67" s="12" t="n">
        <v>92</v>
      </c>
      <c r="J67" s="13" t="n">
        <f aca="false">IF(AND(ISNUMBER(H67),ISNUMBER(I67)),IF(H67+I67&gt;0,2*H67*I67/(H67+I67),0),"-")</f>
        <v>39.3162393162393</v>
      </c>
      <c r="K67" s="17" t="s">
        <v>36</v>
      </c>
      <c r="L67" s="17" t="s">
        <v>36</v>
      </c>
      <c r="M67" s="17" t="s">
        <v>36</v>
      </c>
      <c r="N67" s="17" t="s">
        <v>36</v>
      </c>
      <c r="O67" s="12" t="n">
        <v>90</v>
      </c>
    </row>
    <row r="69" customFormat="false" ht="15" hidden="false" customHeight="false" outlineLevel="0" collapsed="false">
      <c r="A69" s="1" t="s">
        <v>37</v>
      </c>
    </row>
    <row r="70" customFormat="false" ht="43.5" hidden="false" customHeight="true" outlineLevel="0" collapsed="false">
      <c r="A70" s="2" t="s">
        <v>38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2" customFormat="false" ht="15" hidden="false" customHeight="false" outlineLevel="0" collapsed="false">
      <c r="A72" s="3" t="s">
        <v>2</v>
      </c>
      <c r="B72" s="3" t="s">
        <v>3</v>
      </c>
      <c r="C72" s="3" t="s">
        <v>4</v>
      </c>
      <c r="D72" s="3" t="s">
        <v>5</v>
      </c>
      <c r="E72" s="3" t="s">
        <v>9</v>
      </c>
      <c r="F72" s="3" t="s">
        <v>10</v>
      </c>
      <c r="G72" s="3" t="s">
        <v>6</v>
      </c>
      <c r="H72" s="3" t="s">
        <v>7</v>
      </c>
      <c r="I72" s="3" t="s">
        <v>39</v>
      </c>
      <c r="J72" s="3" t="s">
        <v>40</v>
      </c>
      <c r="K72" s="3" t="s">
        <v>41</v>
      </c>
      <c r="L72" s="3" t="s">
        <v>42</v>
      </c>
      <c r="M72" s="3" t="s">
        <v>43</v>
      </c>
      <c r="N72" s="3"/>
      <c r="O72" s="3"/>
      <c r="P72" s="3"/>
    </row>
    <row r="73" customFormat="false" ht="15" hidden="false" customHeight="false" outlineLevel="0" collapsed="false">
      <c r="A73" s="4" t="s">
        <v>44</v>
      </c>
      <c r="B73" s="4" t="s">
        <v>18</v>
      </c>
      <c r="C73" s="5" t="s">
        <v>19</v>
      </c>
      <c r="D73" s="5" t="s">
        <v>20</v>
      </c>
      <c r="E73" s="7" t="n">
        <v>94</v>
      </c>
      <c r="F73" s="7" t="n">
        <v>89</v>
      </c>
      <c r="G73" s="7" t="n">
        <v>92</v>
      </c>
      <c r="H73" s="7" t="n">
        <v>95</v>
      </c>
      <c r="I73" s="18" t="n">
        <v>90</v>
      </c>
      <c r="J73" s="18" t="n">
        <v>94</v>
      </c>
      <c r="K73" s="18" t="n">
        <v>88</v>
      </c>
      <c r="L73" s="18" t="n">
        <v>96</v>
      </c>
      <c r="M73" s="9" t="str">
        <f aca="false">IF(AND(E73&gt;=I73,F73&gt;=J73,G73&gt;=K73,H73&gt;=L73),"✓","✗")</f>
        <v>✗</v>
      </c>
    </row>
    <row r="74" customFormat="false" ht="15" hidden="false" customHeight="false" outlineLevel="0" collapsed="false">
      <c r="A74" s="10" t="s">
        <v>44</v>
      </c>
      <c r="B74" s="10" t="s">
        <v>18</v>
      </c>
      <c r="C74" s="11" t="s">
        <v>21</v>
      </c>
      <c r="D74" s="11" t="s">
        <v>20</v>
      </c>
      <c r="E74" s="13" t="n">
        <v>95</v>
      </c>
      <c r="F74" s="13" t="n">
        <v>92</v>
      </c>
      <c r="G74" s="13" t="n">
        <v>92</v>
      </c>
      <c r="H74" s="13" t="n">
        <v>95</v>
      </c>
      <c r="I74" s="19" t="n">
        <v>90</v>
      </c>
      <c r="J74" s="19" t="n">
        <v>94</v>
      </c>
      <c r="K74" s="19" t="n">
        <v>88</v>
      </c>
      <c r="L74" s="19" t="n">
        <v>96</v>
      </c>
      <c r="M74" s="15" t="str">
        <f aca="false">IF(AND(E74&gt;=I74,F74&gt;=J74,G74&gt;=K74,H74&gt;=L74),"✓","✗")</f>
        <v>✗</v>
      </c>
    </row>
    <row r="75" customFormat="false" ht="15" hidden="false" customHeight="false" outlineLevel="0" collapsed="false">
      <c r="A75" s="10" t="s">
        <v>44</v>
      </c>
      <c r="B75" s="10" t="s">
        <v>18</v>
      </c>
      <c r="C75" s="16" t="s">
        <v>22</v>
      </c>
      <c r="D75" s="16" t="s">
        <v>20</v>
      </c>
      <c r="E75" s="13" t="n">
        <v>95</v>
      </c>
      <c r="F75" s="13" t="n">
        <v>91</v>
      </c>
      <c r="G75" s="13" t="n">
        <v>92</v>
      </c>
      <c r="H75" s="13" t="n">
        <v>95</v>
      </c>
      <c r="I75" s="19" t="n">
        <v>90</v>
      </c>
      <c r="J75" s="19" t="n">
        <v>94</v>
      </c>
      <c r="K75" s="19" t="n">
        <v>88</v>
      </c>
      <c r="L75" s="19" t="n">
        <v>96</v>
      </c>
      <c r="M75" s="15" t="str">
        <f aca="false">IF(AND(E75&gt;=I75,F75&gt;=J75,G75&gt;=K75,H75&gt;=L75),"✓","✗")</f>
        <v>✗</v>
      </c>
    </row>
    <row r="76" customFormat="false" ht="15" hidden="false" customHeight="false" outlineLevel="0" collapsed="false">
      <c r="A76" s="10" t="s">
        <v>44</v>
      </c>
      <c r="B76" s="10" t="s">
        <v>18</v>
      </c>
      <c r="C76" s="17" t="s">
        <v>23</v>
      </c>
      <c r="D76" s="17" t="s">
        <v>24</v>
      </c>
      <c r="E76" s="13" t="n">
        <v>93</v>
      </c>
      <c r="F76" s="13" t="n">
        <v>92</v>
      </c>
      <c r="G76" s="13" t="n">
        <v>90</v>
      </c>
      <c r="H76" s="13" t="n">
        <v>96</v>
      </c>
      <c r="I76" s="19" t="n">
        <v>90</v>
      </c>
      <c r="J76" s="19" t="n">
        <v>94</v>
      </c>
      <c r="K76" s="19" t="n">
        <v>88</v>
      </c>
      <c r="L76" s="19" t="n">
        <v>96</v>
      </c>
      <c r="M76" s="15" t="str">
        <f aca="false">IF(AND(E76&gt;=I76,F76&gt;=J76,G76&gt;=K76,H76&gt;=L76),"✓","✗")</f>
        <v>✗</v>
      </c>
    </row>
    <row r="77" customFormat="false" ht="15" hidden="false" customHeight="false" outlineLevel="0" collapsed="false">
      <c r="A77" s="10" t="s">
        <v>44</v>
      </c>
      <c r="B77" s="10" t="s">
        <v>18</v>
      </c>
      <c r="C77" s="11" t="s">
        <v>25</v>
      </c>
      <c r="D77" s="11" t="s">
        <v>24</v>
      </c>
      <c r="E77" s="13" t="n">
        <v>95</v>
      </c>
      <c r="F77" s="13" t="n">
        <v>92</v>
      </c>
      <c r="G77" s="13" t="n">
        <v>92</v>
      </c>
      <c r="H77" s="13" t="n">
        <v>96</v>
      </c>
      <c r="I77" s="19" t="n">
        <v>90</v>
      </c>
      <c r="J77" s="19" t="n">
        <v>94</v>
      </c>
      <c r="K77" s="19" t="n">
        <v>88</v>
      </c>
      <c r="L77" s="19" t="n">
        <v>96</v>
      </c>
      <c r="M77" s="15" t="str">
        <f aca="false">IF(AND(E77&gt;=I77,F77&gt;=J77,G77&gt;=K77,H77&gt;=L77),"✓","✗")</f>
        <v>✗</v>
      </c>
    </row>
    <row r="78" customFormat="false" ht="15" hidden="false" customHeight="false" outlineLevel="0" collapsed="false">
      <c r="A78" s="10" t="s">
        <v>44</v>
      </c>
      <c r="B78" s="10" t="s">
        <v>18</v>
      </c>
      <c r="C78" s="16" t="s">
        <v>26</v>
      </c>
      <c r="D78" s="16" t="s">
        <v>24</v>
      </c>
      <c r="E78" s="13" t="n">
        <v>94</v>
      </c>
      <c r="F78" s="13" t="n">
        <v>92</v>
      </c>
      <c r="G78" s="13" t="n">
        <v>91</v>
      </c>
      <c r="H78" s="13" t="n">
        <v>96</v>
      </c>
      <c r="I78" s="19" t="n">
        <v>90</v>
      </c>
      <c r="J78" s="19" t="n">
        <v>94</v>
      </c>
      <c r="K78" s="19" t="n">
        <v>88</v>
      </c>
      <c r="L78" s="19" t="n">
        <v>96</v>
      </c>
      <c r="M78" s="15" t="str">
        <f aca="false">IF(AND(E78&gt;=I78,F78&gt;=J78,G78&gt;=K78,H78&gt;=L78),"✓","✗")</f>
        <v>✗</v>
      </c>
    </row>
    <row r="79" customFormat="false" ht="15" hidden="false" customHeight="false" outlineLevel="0" collapsed="false">
      <c r="A79" s="10" t="s">
        <v>44</v>
      </c>
      <c r="B79" s="10" t="s">
        <v>18</v>
      </c>
      <c r="C79" s="17" t="s">
        <v>27</v>
      </c>
      <c r="D79" s="17" t="s">
        <v>28</v>
      </c>
      <c r="E79" s="13" t="n">
        <v>90</v>
      </c>
      <c r="F79" s="13" t="n">
        <v>94</v>
      </c>
      <c r="G79" s="13" t="n">
        <v>87</v>
      </c>
      <c r="H79" s="13" t="n">
        <v>97</v>
      </c>
      <c r="I79" s="19" t="n">
        <v>90</v>
      </c>
      <c r="J79" s="19" t="n">
        <v>94</v>
      </c>
      <c r="K79" s="19" t="n">
        <v>88</v>
      </c>
      <c r="L79" s="19" t="n">
        <v>96</v>
      </c>
      <c r="M79" s="15" t="str">
        <f aca="false">IF(AND(E79&gt;=I79,F79&gt;=J79,G79&gt;=K79,H79&gt;=L79),"✓","✗")</f>
        <v>✗</v>
      </c>
    </row>
    <row r="80" customFormat="false" ht="15" hidden="false" customHeight="false" outlineLevel="0" collapsed="false">
      <c r="A80" s="10" t="s">
        <v>44</v>
      </c>
      <c r="B80" s="10" t="s">
        <v>18</v>
      </c>
      <c r="C80" s="11" t="s">
        <v>29</v>
      </c>
      <c r="D80" s="11" t="s">
        <v>28</v>
      </c>
      <c r="E80" s="13" t="n">
        <v>95</v>
      </c>
      <c r="F80" s="13" t="n">
        <v>88</v>
      </c>
      <c r="G80" s="13" t="n">
        <v>92</v>
      </c>
      <c r="H80" s="13" t="n">
        <v>94</v>
      </c>
      <c r="I80" s="19" t="n">
        <v>90</v>
      </c>
      <c r="J80" s="19" t="n">
        <v>94</v>
      </c>
      <c r="K80" s="19" t="n">
        <v>88</v>
      </c>
      <c r="L80" s="19" t="n">
        <v>96</v>
      </c>
      <c r="M80" s="15" t="str">
        <f aca="false">IF(AND(E80&gt;=I80,F80&gt;=J80,G80&gt;=K80,H80&gt;=L80),"✓","✗")</f>
        <v>✗</v>
      </c>
    </row>
    <row r="81" customFormat="false" ht="15" hidden="false" customHeight="false" outlineLevel="0" collapsed="false">
      <c r="A81" s="10" t="s">
        <v>44</v>
      </c>
      <c r="B81" s="10" t="s">
        <v>18</v>
      </c>
      <c r="C81" s="16" t="s">
        <v>30</v>
      </c>
      <c r="D81" s="16" t="s">
        <v>28</v>
      </c>
      <c r="E81" s="13" t="n">
        <v>93</v>
      </c>
      <c r="F81" s="13" t="n">
        <v>92</v>
      </c>
      <c r="G81" s="13" t="n">
        <v>89</v>
      </c>
      <c r="H81" s="13" t="n">
        <v>96</v>
      </c>
      <c r="I81" s="19" t="n">
        <v>90</v>
      </c>
      <c r="J81" s="19" t="n">
        <v>94</v>
      </c>
      <c r="K81" s="19" t="n">
        <v>88</v>
      </c>
      <c r="L81" s="19" t="n">
        <v>96</v>
      </c>
      <c r="M81" s="15" t="str">
        <f aca="false">IF(AND(E81&gt;=I81,F81&gt;=J81,G81&gt;=K81,H81&gt;=L81),"✓","✗")</f>
        <v>✗</v>
      </c>
    </row>
    <row r="82" customFormat="false" ht="15" hidden="false" customHeight="false" outlineLevel="0" collapsed="false">
      <c r="A82" s="4" t="s">
        <v>44</v>
      </c>
      <c r="B82" s="4" t="s">
        <v>31</v>
      </c>
      <c r="C82" s="5" t="s">
        <v>19</v>
      </c>
      <c r="D82" s="5" t="s">
        <v>20</v>
      </c>
      <c r="E82" s="7" t="n">
        <v>87</v>
      </c>
      <c r="F82" s="7" t="n">
        <v>91</v>
      </c>
      <c r="G82" s="7" t="n">
        <v>77</v>
      </c>
      <c r="H82" s="7" t="n">
        <v>86</v>
      </c>
      <c r="I82" s="18" t="n">
        <v>89</v>
      </c>
      <c r="J82" s="18" t="n">
        <v>88</v>
      </c>
      <c r="K82" s="18" t="n">
        <v>60</v>
      </c>
      <c r="L82" s="18" t="n">
        <v>78</v>
      </c>
      <c r="M82" s="9" t="str">
        <f aca="false">IF(AND(E82&gt;=I82,F82&gt;=J82,G82&gt;=K82,H82&gt;=L82),"✓","✗")</f>
        <v>✗</v>
      </c>
    </row>
    <row r="83" customFormat="false" ht="15" hidden="false" customHeight="false" outlineLevel="0" collapsed="false">
      <c r="A83" s="10" t="s">
        <v>44</v>
      </c>
      <c r="B83" s="10" t="s">
        <v>31</v>
      </c>
      <c r="C83" s="11" t="s">
        <v>21</v>
      </c>
      <c r="D83" s="11" t="s">
        <v>20</v>
      </c>
      <c r="E83" s="13" t="n">
        <v>93</v>
      </c>
      <c r="F83" s="13" t="n">
        <v>91</v>
      </c>
      <c r="G83" s="13" t="n">
        <v>72</v>
      </c>
      <c r="H83" s="13" t="n">
        <v>90</v>
      </c>
      <c r="I83" s="19" t="n">
        <v>89</v>
      </c>
      <c r="J83" s="19" t="n">
        <v>88</v>
      </c>
      <c r="K83" s="19" t="n">
        <v>60</v>
      </c>
      <c r="L83" s="19" t="n">
        <v>78</v>
      </c>
      <c r="M83" s="15" t="str">
        <f aca="false">IF(AND(E83&gt;=I83,F83&gt;=J83,G83&gt;=K83,H83&gt;=L83),"✓","✗")</f>
        <v>✓</v>
      </c>
    </row>
    <row r="84" customFormat="false" ht="15" hidden="false" customHeight="false" outlineLevel="0" collapsed="false">
      <c r="A84" s="10" t="s">
        <v>44</v>
      </c>
      <c r="B84" s="10" t="s">
        <v>31</v>
      </c>
      <c r="C84" s="16" t="s">
        <v>22</v>
      </c>
      <c r="D84" s="16" t="s">
        <v>20</v>
      </c>
      <c r="E84" s="13" t="n">
        <v>88</v>
      </c>
      <c r="F84" s="13" t="n">
        <v>93</v>
      </c>
      <c r="G84" s="13" t="n">
        <v>67</v>
      </c>
      <c r="H84" s="13" t="n">
        <v>92</v>
      </c>
      <c r="I84" s="19" t="n">
        <v>89</v>
      </c>
      <c r="J84" s="19" t="n">
        <v>88</v>
      </c>
      <c r="K84" s="19" t="n">
        <v>60</v>
      </c>
      <c r="L84" s="19" t="n">
        <v>78</v>
      </c>
      <c r="M84" s="15" t="str">
        <f aca="false">IF(AND(E84&gt;=I84,F84&gt;=J84,G84&gt;=K84,H84&gt;=L84),"✓","✗")</f>
        <v>✗</v>
      </c>
    </row>
    <row r="85" customFormat="false" ht="15" hidden="false" customHeight="false" outlineLevel="0" collapsed="false">
      <c r="A85" s="10" t="s">
        <v>44</v>
      </c>
      <c r="B85" s="10" t="s">
        <v>31</v>
      </c>
      <c r="C85" s="17" t="s">
        <v>23</v>
      </c>
      <c r="D85" s="17" t="s">
        <v>24</v>
      </c>
      <c r="E85" s="13" t="n">
        <v>85</v>
      </c>
      <c r="F85" s="13" t="n">
        <v>90</v>
      </c>
      <c r="G85" s="13" t="n">
        <v>79</v>
      </c>
      <c r="H85" s="13" t="n">
        <v>85</v>
      </c>
      <c r="I85" s="19" t="n">
        <v>89</v>
      </c>
      <c r="J85" s="19" t="n">
        <v>88</v>
      </c>
      <c r="K85" s="19" t="n">
        <v>60</v>
      </c>
      <c r="L85" s="19" t="n">
        <v>78</v>
      </c>
      <c r="M85" s="15" t="str">
        <f aca="false">IF(AND(E85&gt;=I85,F85&gt;=J85,G85&gt;=K85,H85&gt;=L85),"✓","✗")</f>
        <v>✗</v>
      </c>
    </row>
    <row r="86" customFormat="false" ht="15" hidden="false" customHeight="false" outlineLevel="0" collapsed="false">
      <c r="A86" s="10" t="s">
        <v>44</v>
      </c>
      <c r="B86" s="10" t="s">
        <v>31</v>
      </c>
      <c r="C86" s="11" t="s">
        <v>25</v>
      </c>
      <c r="D86" s="11" t="s">
        <v>24</v>
      </c>
      <c r="E86" s="13" t="n">
        <v>93</v>
      </c>
      <c r="F86" s="13" t="n">
        <v>88</v>
      </c>
      <c r="G86" s="13" t="n">
        <v>78</v>
      </c>
      <c r="H86" s="13" t="n">
        <v>89</v>
      </c>
      <c r="I86" s="19" t="n">
        <v>89</v>
      </c>
      <c r="J86" s="19" t="n">
        <v>88</v>
      </c>
      <c r="K86" s="19" t="n">
        <v>60</v>
      </c>
      <c r="L86" s="19" t="n">
        <v>78</v>
      </c>
      <c r="M86" s="15" t="str">
        <f aca="false">IF(AND(E86&gt;=I86,F86&gt;=J86,G86&gt;=K86,H86&gt;=L86),"✓","✗")</f>
        <v>✓</v>
      </c>
    </row>
    <row r="87" customFormat="false" ht="15" hidden="false" customHeight="false" outlineLevel="0" collapsed="false">
      <c r="A87" s="10" t="s">
        <v>44</v>
      </c>
      <c r="B87" s="10" t="s">
        <v>31</v>
      </c>
      <c r="C87" s="16" t="s">
        <v>26</v>
      </c>
      <c r="D87" s="16" t="s">
        <v>24</v>
      </c>
      <c r="E87" s="13" t="n">
        <v>85</v>
      </c>
      <c r="F87" s="13" t="n">
        <v>91</v>
      </c>
      <c r="G87" s="13" t="n">
        <v>78</v>
      </c>
      <c r="H87" s="13" t="n">
        <v>89</v>
      </c>
      <c r="I87" s="19" t="n">
        <v>89</v>
      </c>
      <c r="J87" s="19" t="n">
        <v>88</v>
      </c>
      <c r="K87" s="19" t="n">
        <v>60</v>
      </c>
      <c r="L87" s="19" t="n">
        <v>78</v>
      </c>
      <c r="M87" s="15" t="str">
        <f aca="false">IF(AND(E87&gt;=I87,F87&gt;=J87,G87&gt;=K87,H87&gt;=L87),"✓","✗")</f>
        <v>✗</v>
      </c>
    </row>
    <row r="88" customFormat="false" ht="15" hidden="false" customHeight="false" outlineLevel="0" collapsed="false">
      <c r="A88" s="10" t="s">
        <v>44</v>
      </c>
      <c r="B88" s="10" t="s">
        <v>31</v>
      </c>
      <c r="C88" s="17" t="s">
        <v>27</v>
      </c>
      <c r="D88" s="17" t="s">
        <v>28</v>
      </c>
      <c r="E88" s="13" t="n">
        <v>82</v>
      </c>
      <c r="F88" s="13" t="n">
        <v>89</v>
      </c>
      <c r="G88" s="13" t="n">
        <v>80</v>
      </c>
      <c r="H88" s="13" t="n">
        <v>84</v>
      </c>
      <c r="I88" s="19" t="n">
        <v>89</v>
      </c>
      <c r="J88" s="19" t="n">
        <v>88</v>
      </c>
      <c r="K88" s="19" t="n">
        <v>60</v>
      </c>
      <c r="L88" s="19" t="n">
        <v>78</v>
      </c>
      <c r="M88" s="15" t="str">
        <f aca="false">IF(AND(E88&gt;=I88,F88&gt;=J88,G88&gt;=K88,H88&gt;=L88),"✓","✗")</f>
        <v>✗</v>
      </c>
    </row>
    <row r="89" customFormat="false" ht="15" hidden="false" customHeight="false" outlineLevel="0" collapsed="false">
      <c r="A89" s="10" t="s">
        <v>44</v>
      </c>
      <c r="B89" s="10" t="s">
        <v>31</v>
      </c>
      <c r="C89" s="11" t="s">
        <v>29</v>
      </c>
      <c r="D89" s="11" t="s">
        <v>28</v>
      </c>
      <c r="E89" s="13" t="n">
        <v>91</v>
      </c>
      <c r="F89" s="13" t="n">
        <v>88</v>
      </c>
      <c r="G89" s="13" t="n">
        <v>76</v>
      </c>
      <c r="H89" s="13" t="n">
        <v>89</v>
      </c>
      <c r="I89" s="19" t="n">
        <v>89</v>
      </c>
      <c r="J89" s="19" t="n">
        <v>88</v>
      </c>
      <c r="K89" s="19" t="n">
        <v>60</v>
      </c>
      <c r="L89" s="19" t="n">
        <v>78</v>
      </c>
      <c r="M89" s="15" t="str">
        <f aca="false">IF(AND(E89&gt;=I89,F89&gt;=J89,G89&gt;=K89,H89&gt;=L89),"✓","✗")</f>
        <v>✓</v>
      </c>
    </row>
    <row r="90" customFormat="false" ht="15" hidden="false" customHeight="false" outlineLevel="0" collapsed="false">
      <c r="A90" s="10" t="s">
        <v>44</v>
      </c>
      <c r="B90" s="10" t="s">
        <v>31</v>
      </c>
      <c r="C90" s="16" t="s">
        <v>30</v>
      </c>
      <c r="D90" s="16" t="s">
        <v>28</v>
      </c>
      <c r="E90" s="13" t="n">
        <v>79</v>
      </c>
      <c r="F90" s="13" t="n">
        <v>93</v>
      </c>
      <c r="G90" s="13" t="n">
        <v>71</v>
      </c>
      <c r="H90" s="13" t="n">
        <v>91</v>
      </c>
      <c r="I90" s="19" t="n">
        <v>89</v>
      </c>
      <c r="J90" s="19" t="n">
        <v>88</v>
      </c>
      <c r="K90" s="19" t="n">
        <v>60</v>
      </c>
      <c r="L90" s="19" t="n">
        <v>78</v>
      </c>
      <c r="M90" s="15" t="str">
        <f aca="false">IF(AND(E90&gt;=I90,F90&gt;=J90,G90&gt;=K90,H90&gt;=L90),"✓","✗")</f>
        <v>✗</v>
      </c>
    </row>
    <row r="91" customFormat="false" ht="15" hidden="false" customHeight="false" outlineLevel="0" collapsed="false">
      <c r="A91" s="4" t="s">
        <v>44</v>
      </c>
      <c r="B91" s="4" t="s">
        <v>32</v>
      </c>
      <c r="C91" s="5" t="s">
        <v>19</v>
      </c>
      <c r="D91" s="5" t="s">
        <v>20</v>
      </c>
      <c r="E91" s="7" t="n">
        <v>80</v>
      </c>
      <c r="F91" s="7" t="n">
        <v>88</v>
      </c>
      <c r="G91" s="7" t="n">
        <v>74</v>
      </c>
      <c r="H91" s="7" t="n">
        <v>81</v>
      </c>
      <c r="I91" s="18" t="n">
        <v>81</v>
      </c>
      <c r="J91" s="18" t="n">
        <v>90</v>
      </c>
      <c r="K91" s="18" t="n">
        <v>62</v>
      </c>
      <c r="L91" s="18" t="n">
        <v>86</v>
      </c>
      <c r="M91" s="9" t="str">
        <f aca="false">IF(AND(E91&gt;=I91,F91&gt;=J91,G91&gt;=K91,H91&gt;=L91),"✓","✗")</f>
        <v>✗</v>
      </c>
    </row>
    <row r="92" customFormat="false" ht="15" hidden="false" customHeight="false" outlineLevel="0" collapsed="false">
      <c r="A92" s="10" t="s">
        <v>44</v>
      </c>
      <c r="B92" s="10" t="s">
        <v>32</v>
      </c>
      <c r="C92" s="11" t="s">
        <v>21</v>
      </c>
      <c r="D92" s="11" t="s">
        <v>20</v>
      </c>
      <c r="E92" s="13" t="n">
        <v>88</v>
      </c>
      <c r="F92" s="13" t="n">
        <v>89</v>
      </c>
      <c r="G92" s="13" t="n">
        <v>72</v>
      </c>
      <c r="H92" s="13" t="n">
        <v>85</v>
      </c>
      <c r="I92" s="19" t="n">
        <v>81</v>
      </c>
      <c r="J92" s="19" t="n">
        <v>90</v>
      </c>
      <c r="K92" s="19" t="n">
        <v>62</v>
      </c>
      <c r="L92" s="19" t="n">
        <v>86</v>
      </c>
      <c r="M92" s="15" t="str">
        <f aca="false">IF(AND(E92&gt;=I92,F92&gt;=J92,G92&gt;=K92,H92&gt;=L92),"✓","✗")</f>
        <v>✗</v>
      </c>
    </row>
    <row r="93" customFormat="false" ht="15" hidden="false" customHeight="false" outlineLevel="0" collapsed="false">
      <c r="A93" s="10" t="s">
        <v>44</v>
      </c>
      <c r="B93" s="10" t="s">
        <v>32</v>
      </c>
      <c r="C93" s="16" t="s">
        <v>22</v>
      </c>
      <c r="D93" s="16" t="s">
        <v>20</v>
      </c>
      <c r="E93" s="13" t="n">
        <v>91</v>
      </c>
      <c r="F93" s="13" t="n">
        <v>87</v>
      </c>
      <c r="G93" s="13" t="n">
        <v>74</v>
      </c>
      <c r="H93" s="13" t="n">
        <v>85</v>
      </c>
      <c r="I93" s="19" t="n">
        <v>81</v>
      </c>
      <c r="J93" s="19" t="n">
        <v>90</v>
      </c>
      <c r="K93" s="19" t="n">
        <v>62</v>
      </c>
      <c r="L93" s="19" t="n">
        <v>86</v>
      </c>
      <c r="M93" s="15" t="str">
        <f aca="false">IF(AND(E93&gt;=I93,F93&gt;=J93,G93&gt;=K93,H93&gt;=L93),"✓","✗")</f>
        <v>✗</v>
      </c>
    </row>
    <row r="94" customFormat="false" ht="15" hidden="false" customHeight="false" outlineLevel="0" collapsed="false">
      <c r="A94" s="10" t="s">
        <v>44</v>
      </c>
      <c r="B94" s="10" t="s">
        <v>32</v>
      </c>
      <c r="C94" s="17" t="s">
        <v>23</v>
      </c>
      <c r="D94" s="17" t="s">
        <v>24</v>
      </c>
      <c r="E94" s="13" t="n">
        <v>77</v>
      </c>
      <c r="F94" s="13" t="n">
        <v>90</v>
      </c>
      <c r="G94" s="13" t="n">
        <v>72</v>
      </c>
      <c r="H94" s="13" t="n">
        <v>80</v>
      </c>
      <c r="I94" s="19" t="n">
        <v>81</v>
      </c>
      <c r="J94" s="19" t="n">
        <v>90</v>
      </c>
      <c r="K94" s="19" t="n">
        <v>62</v>
      </c>
      <c r="L94" s="19" t="n">
        <v>86</v>
      </c>
      <c r="M94" s="15" t="str">
        <f aca="false">IF(AND(E94&gt;=I94,F94&gt;=J94,G94&gt;=K94,H94&gt;=L94),"✓","✗")</f>
        <v>✗</v>
      </c>
    </row>
    <row r="95" customFormat="false" ht="15" hidden="false" customHeight="false" outlineLevel="0" collapsed="false">
      <c r="A95" s="10" t="s">
        <v>44</v>
      </c>
      <c r="B95" s="10" t="s">
        <v>32</v>
      </c>
      <c r="C95" s="11" t="s">
        <v>25</v>
      </c>
      <c r="D95" s="11" t="s">
        <v>24</v>
      </c>
      <c r="E95" s="13" t="n">
        <v>84</v>
      </c>
      <c r="F95" s="13" t="n">
        <v>88</v>
      </c>
      <c r="G95" s="13" t="n">
        <v>75</v>
      </c>
      <c r="H95" s="13" t="n">
        <v>81</v>
      </c>
      <c r="I95" s="19" t="n">
        <v>81</v>
      </c>
      <c r="J95" s="19" t="n">
        <v>90</v>
      </c>
      <c r="K95" s="19" t="n">
        <v>62</v>
      </c>
      <c r="L95" s="19" t="n">
        <v>86</v>
      </c>
      <c r="M95" s="15" t="str">
        <f aca="false">IF(AND(E95&gt;=I95,F95&gt;=J95,G95&gt;=K95,H95&gt;=L95),"✓","✗")</f>
        <v>✗</v>
      </c>
    </row>
    <row r="96" customFormat="false" ht="15" hidden="false" customHeight="false" outlineLevel="0" collapsed="false">
      <c r="A96" s="10" t="s">
        <v>44</v>
      </c>
      <c r="B96" s="10" t="s">
        <v>32</v>
      </c>
      <c r="C96" s="16" t="s">
        <v>26</v>
      </c>
      <c r="D96" s="16" t="s">
        <v>24</v>
      </c>
      <c r="E96" s="13" t="n">
        <v>84</v>
      </c>
      <c r="F96" s="13" t="n">
        <v>88</v>
      </c>
      <c r="G96" s="13" t="n">
        <v>73</v>
      </c>
      <c r="H96" s="13" t="n">
        <v>83</v>
      </c>
      <c r="I96" s="19" t="n">
        <v>81</v>
      </c>
      <c r="J96" s="19" t="n">
        <v>90</v>
      </c>
      <c r="K96" s="19" t="n">
        <v>62</v>
      </c>
      <c r="L96" s="19" t="n">
        <v>86</v>
      </c>
      <c r="M96" s="15" t="str">
        <f aca="false">IF(AND(E96&gt;=I96,F96&gt;=J96,G96&gt;=K96,H96&gt;=L96),"✓","✗")</f>
        <v>✗</v>
      </c>
    </row>
    <row r="97" customFormat="false" ht="15" hidden="false" customHeight="false" outlineLevel="0" collapsed="false">
      <c r="A97" s="10" t="s">
        <v>44</v>
      </c>
      <c r="B97" s="10" t="s">
        <v>32</v>
      </c>
      <c r="C97" s="17" t="s">
        <v>27</v>
      </c>
      <c r="D97" s="17" t="s">
        <v>28</v>
      </c>
      <c r="E97" s="13" t="n">
        <v>76</v>
      </c>
      <c r="F97" s="13" t="n">
        <v>82</v>
      </c>
      <c r="G97" s="13" t="n">
        <v>75</v>
      </c>
      <c r="H97" s="13" t="n">
        <v>78</v>
      </c>
      <c r="I97" s="19" t="n">
        <v>81</v>
      </c>
      <c r="J97" s="19" t="n">
        <v>90</v>
      </c>
      <c r="K97" s="19" t="n">
        <v>62</v>
      </c>
      <c r="L97" s="19" t="n">
        <v>86</v>
      </c>
      <c r="M97" s="15" t="str">
        <f aca="false">IF(AND(E97&gt;=I97,F97&gt;=J97,G97&gt;=K97,H97&gt;=L97),"✓","✗")</f>
        <v>✗</v>
      </c>
    </row>
    <row r="98" customFormat="false" ht="15" hidden="false" customHeight="false" outlineLevel="0" collapsed="false">
      <c r="A98" s="10" t="s">
        <v>44</v>
      </c>
      <c r="B98" s="10" t="s">
        <v>32</v>
      </c>
      <c r="C98" s="11" t="s">
        <v>29</v>
      </c>
      <c r="D98" s="11" t="s">
        <v>28</v>
      </c>
      <c r="E98" s="13" t="n">
        <v>81</v>
      </c>
      <c r="F98" s="13" t="n">
        <v>88</v>
      </c>
      <c r="G98" s="13" t="n">
        <v>72</v>
      </c>
      <c r="H98" s="13" t="n">
        <v>86</v>
      </c>
      <c r="I98" s="19" t="n">
        <v>81</v>
      </c>
      <c r="J98" s="19" t="n">
        <v>90</v>
      </c>
      <c r="K98" s="19" t="n">
        <v>62</v>
      </c>
      <c r="L98" s="19" t="n">
        <v>86</v>
      </c>
      <c r="M98" s="15" t="str">
        <f aca="false">IF(AND(E98&gt;=I98,F98&gt;=J98,G98&gt;=K98,H98&gt;=L98),"✓","✗")</f>
        <v>✗</v>
      </c>
    </row>
    <row r="99" customFormat="false" ht="15" hidden="false" customHeight="false" outlineLevel="0" collapsed="false">
      <c r="A99" s="10" t="s">
        <v>44</v>
      </c>
      <c r="B99" s="10" t="s">
        <v>32</v>
      </c>
      <c r="C99" s="16" t="s">
        <v>30</v>
      </c>
      <c r="D99" s="16" t="s">
        <v>28</v>
      </c>
      <c r="E99" s="13" t="n">
        <v>84</v>
      </c>
      <c r="F99" s="13" t="n">
        <v>84</v>
      </c>
      <c r="G99" s="13" t="n">
        <v>80</v>
      </c>
      <c r="H99" s="13" t="n">
        <v>81</v>
      </c>
      <c r="I99" s="19" t="n">
        <v>81</v>
      </c>
      <c r="J99" s="19" t="n">
        <v>90</v>
      </c>
      <c r="K99" s="19" t="n">
        <v>62</v>
      </c>
      <c r="L99" s="19" t="n">
        <v>86</v>
      </c>
      <c r="M99" s="15" t="str">
        <f aca="false">IF(AND(E99&gt;=I99,F99&gt;=J99,G99&gt;=K99,H99&gt;=L99),"✓","✗")</f>
        <v>✗</v>
      </c>
    </row>
    <row r="100" customFormat="false" ht="15" hidden="false" customHeight="false" outlineLevel="0" collapsed="false">
      <c r="A100" s="4" t="s">
        <v>44</v>
      </c>
      <c r="B100" s="4" t="s">
        <v>33</v>
      </c>
      <c r="C100" s="5" t="s">
        <v>19</v>
      </c>
      <c r="D100" s="5" t="s">
        <v>20</v>
      </c>
      <c r="E100" s="7" t="n">
        <v>86</v>
      </c>
      <c r="F100" s="7" t="n">
        <v>99</v>
      </c>
      <c r="G100" s="7" t="n">
        <v>84</v>
      </c>
      <c r="H100" s="7" t="n">
        <v>90</v>
      </c>
      <c r="I100" s="18" t="n">
        <v>25</v>
      </c>
      <c r="J100" s="18" t="n">
        <v>77</v>
      </c>
      <c r="K100" s="18" t="n">
        <v>31</v>
      </c>
      <c r="L100" s="18" t="n">
        <v>65</v>
      </c>
      <c r="M100" s="9" t="str">
        <f aca="false">IF(AND(E100&gt;=I100,F100&gt;=J100,G100&gt;=K100,H100&gt;=L100),"✓","✗")</f>
        <v>✓</v>
      </c>
    </row>
    <row r="101" customFormat="false" ht="15" hidden="false" customHeight="false" outlineLevel="0" collapsed="false">
      <c r="A101" s="10" t="s">
        <v>44</v>
      </c>
      <c r="B101" s="10" t="s">
        <v>33</v>
      </c>
      <c r="C101" s="11" t="s">
        <v>21</v>
      </c>
      <c r="D101" s="11" t="s">
        <v>20</v>
      </c>
      <c r="E101" s="13" t="n">
        <v>54</v>
      </c>
      <c r="F101" s="13" t="n">
        <v>99</v>
      </c>
      <c r="G101" s="13" t="n">
        <v>57</v>
      </c>
      <c r="H101" s="13" t="n">
        <v>93</v>
      </c>
      <c r="I101" s="19" t="n">
        <v>25</v>
      </c>
      <c r="J101" s="19" t="n">
        <v>77</v>
      </c>
      <c r="K101" s="19" t="n">
        <v>31</v>
      </c>
      <c r="L101" s="19" t="n">
        <v>65</v>
      </c>
      <c r="M101" s="15" t="str">
        <f aca="false">IF(AND(E101&gt;=I101,F101&gt;=J101,G101&gt;=K101,H101&gt;=L101),"✓","✗")</f>
        <v>✓</v>
      </c>
    </row>
    <row r="102" customFormat="false" ht="15" hidden="false" customHeight="false" outlineLevel="0" collapsed="false">
      <c r="A102" s="10" t="s">
        <v>44</v>
      </c>
      <c r="B102" s="10" t="s">
        <v>33</v>
      </c>
      <c r="C102" s="16" t="s">
        <v>22</v>
      </c>
      <c r="D102" s="16" t="s">
        <v>20</v>
      </c>
      <c r="E102" s="13" t="n">
        <v>59</v>
      </c>
      <c r="F102" s="13" t="n">
        <v>99</v>
      </c>
      <c r="G102" s="13" t="n">
        <v>61</v>
      </c>
      <c r="H102" s="13" t="n">
        <v>93</v>
      </c>
      <c r="I102" s="19" t="n">
        <v>25</v>
      </c>
      <c r="J102" s="19" t="n">
        <v>77</v>
      </c>
      <c r="K102" s="19" t="n">
        <v>31</v>
      </c>
      <c r="L102" s="19" t="n">
        <v>65</v>
      </c>
      <c r="M102" s="15" t="str">
        <f aca="false">IF(AND(E102&gt;=I102,F102&gt;=J102,G102&gt;=K102,H102&gt;=L102),"✓","✗")</f>
        <v>✓</v>
      </c>
    </row>
    <row r="103" customFormat="false" ht="15" hidden="false" customHeight="false" outlineLevel="0" collapsed="false">
      <c r="A103" s="10" t="s">
        <v>44</v>
      </c>
      <c r="B103" s="10" t="s">
        <v>33</v>
      </c>
      <c r="C103" s="17" t="s">
        <v>23</v>
      </c>
      <c r="D103" s="17" t="s">
        <v>24</v>
      </c>
      <c r="E103" s="13" t="n">
        <v>88</v>
      </c>
      <c r="F103" s="13" t="n">
        <v>98</v>
      </c>
      <c r="G103" s="13" t="n">
        <v>86</v>
      </c>
      <c r="H103" s="13" t="n">
        <v>89</v>
      </c>
      <c r="I103" s="19" t="n">
        <v>25</v>
      </c>
      <c r="J103" s="19" t="n">
        <v>77</v>
      </c>
      <c r="K103" s="19" t="n">
        <v>31</v>
      </c>
      <c r="L103" s="19" t="n">
        <v>65</v>
      </c>
      <c r="M103" s="15" t="str">
        <f aca="false">IF(AND(E103&gt;=I103,F103&gt;=J103,G103&gt;=K103,H103&gt;=L103),"✓","✗")</f>
        <v>✓</v>
      </c>
    </row>
    <row r="104" customFormat="false" ht="15" hidden="false" customHeight="false" outlineLevel="0" collapsed="false">
      <c r="A104" s="10" t="s">
        <v>44</v>
      </c>
      <c r="B104" s="10" t="s">
        <v>33</v>
      </c>
      <c r="C104" s="11" t="s">
        <v>25</v>
      </c>
      <c r="D104" s="11" t="s">
        <v>24</v>
      </c>
      <c r="E104" s="13" t="n">
        <v>27</v>
      </c>
      <c r="F104" s="13" t="n">
        <v>99</v>
      </c>
      <c r="G104" s="13" t="n">
        <v>33</v>
      </c>
      <c r="H104" s="13" t="n">
        <v>95</v>
      </c>
      <c r="I104" s="19" t="n">
        <v>25</v>
      </c>
      <c r="J104" s="19" t="n">
        <v>77</v>
      </c>
      <c r="K104" s="19" t="n">
        <v>31</v>
      </c>
      <c r="L104" s="19" t="n">
        <v>65</v>
      </c>
      <c r="M104" s="15" t="str">
        <f aca="false">IF(AND(E104&gt;=I104,F104&gt;=J104,G104&gt;=K104,H104&gt;=L104),"✓","✗")</f>
        <v>✓</v>
      </c>
    </row>
    <row r="105" customFormat="false" ht="15" hidden="false" customHeight="false" outlineLevel="0" collapsed="false">
      <c r="A105" s="10" t="s">
        <v>44</v>
      </c>
      <c r="B105" s="10" t="s">
        <v>33</v>
      </c>
      <c r="C105" s="16" t="s">
        <v>26</v>
      </c>
      <c r="D105" s="16" t="s">
        <v>24</v>
      </c>
      <c r="E105" s="13" t="n">
        <v>23</v>
      </c>
      <c r="F105" s="13" t="n">
        <v>98</v>
      </c>
      <c r="G105" s="13" t="n">
        <v>29</v>
      </c>
      <c r="H105" s="13" t="n">
        <v>96</v>
      </c>
      <c r="I105" s="19" t="n">
        <v>25</v>
      </c>
      <c r="J105" s="19" t="n">
        <v>77</v>
      </c>
      <c r="K105" s="19" t="n">
        <v>31</v>
      </c>
      <c r="L105" s="19" t="n">
        <v>65</v>
      </c>
      <c r="M105" s="15" t="str">
        <f aca="false">IF(AND(E105&gt;=I105,F105&gt;=J105,G105&gt;=K105,H105&gt;=L105),"✓","✗")</f>
        <v>✗</v>
      </c>
    </row>
    <row r="106" customFormat="false" ht="15" hidden="false" customHeight="false" outlineLevel="0" collapsed="false">
      <c r="A106" s="10" t="s">
        <v>44</v>
      </c>
      <c r="B106" s="10" t="s">
        <v>33</v>
      </c>
      <c r="C106" s="17" t="s">
        <v>27</v>
      </c>
      <c r="D106" s="17" t="s">
        <v>28</v>
      </c>
      <c r="E106" s="13" t="n">
        <v>88</v>
      </c>
      <c r="F106" s="13" t="n">
        <v>99</v>
      </c>
      <c r="G106" s="13" t="n">
        <v>86</v>
      </c>
      <c r="H106" s="13" t="n">
        <v>89</v>
      </c>
      <c r="I106" s="19" t="n">
        <v>25</v>
      </c>
      <c r="J106" s="19" t="n">
        <v>77</v>
      </c>
      <c r="K106" s="19" t="n">
        <v>31</v>
      </c>
      <c r="L106" s="19" t="n">
        <v>65</v>
      </c>
      <c r="M106" s="15" t="str">
        <f aca="false">IF(AND(E106&gt;=I106,F106&gt;=J106,G106&gt;=K106,H106&gt;=L106),"✓","✗")</f>
        <v>✓</v>
      </c>
    </row>
    <row r="107" customFormat="false" ht="15" hidden="false" customHeight="false" outlineLevel="0" collapsed="false">
      <c r="A107" s="10" t="s">
        <v>44</v>
      </c>
      <c r="B107" s="10" t="s">
        <v>33</v>
      </c>
      <c r="C107" s="11" t="s">
        <v>29</v>
      </c>
      <c r="D107" s="11" t="s">
        <v>28</v>
      </c>
      <c r="E107" s="13" t="n">
        <v>31</v>
      </c>
      <c r="F107" s="13" t="n">
        <v>99</v>
      </c>
      <c r="G107" s="13" t="n">
        <v>38</v>
      </c>
      <c r="H107" s="13" t="n">
        <v>94</v>
      </c>
      <c r="I107" s="19" t="n">
        <v>25</v>
      </c>
      <c r="J107" s="19" t="n">
        <v>77</v>
      </c>
      <c r="K107" s="19" t="n">
        <v>31</v>
      </c>
      <c r="L107" s="19" t="n">
        <v>65</v>
      </c>
      <c r="M107" s="15" t="str">
        <f aca="false">IF(AND(E107&gt;=I107,F107&gt;=J107,G107&gt;=K107,H107&gt;=L107),"✓","✗")</f>
        <v>✓</v>
      </c>
    </row>
    <row r="108" customFormat="false" ht="15" hidden="false" customHeight="false" outlineLevel="0" collapsed="false">
      <c r="A108" s="10" t="s">
        <v>44</v>
      </c>
      <c r="B108" s="10" t="s">
        <v>33</v>
      </c>
      <c r="C108" s="16" t="s">
        <v>30</v>
      </c>
      <c r="D108" s="16" t="s">
        <v>28</v>
      </c>
      <c r="E108" s="13" t="n">
        <v>24</v>
      </c>
      <c r="F108" s="13" t="n">
        <v>100</v>
      </c>
      <c r="G108" s="13" t="n">
        <v>31</v>
      </c>
      <c r="H108" s="13" t="n">
        <v>95</v>
      </c>
      <c r="I108" s="19" t="n">
        <v>25</v>
      </c>
      <c r="J108" s="19" t="n">
        <v>77</v>
      </c>
      <c r="K108" s="19" t="n">
        <v>31</v>
      </c>
      <c r="L108" s="19" t="n">
        <v>65</v>
      </c>
      <c r="M108" s="15" t="str">
        <f aca="false">IF(AND(E108&gt;=I108,F108&gt;=J108,G108&gt;=K108,H108&gt;=L108),"✓","✗")</f>
        <v>✗</v>
      </c>
    </row>
    <row r="110" customFormat="false" ht="15" hidden="false" customHeight="false" outlineLevel="0" collapsed="false">
      <c r="A110" s="3" t="s">
        <v>2</v>
      </c>
      <c r="B110" s="3" t="s">
        <v>45</v>
      </c>
      <c r="C110" s="3" t="s">
        <v>4</v>
      </c>
      <c r="D110" s="3" t="s">
        <v>5</v>
      </c>
      <c r="E110" s="3" t="s">
        <v>46</v>
      </c>
      <c r="F110" s="3" t="s">
        <v>47</v>
      </c>
      <c r="G110" s="3" t="s">
        <v>48</v>
      </c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" hidden="false" customHeight="false" outlineLevel="0" collapsed="false">
      <c r="A111" s="4" t="s">
        <v>44</v>
      </c>
      <c r="B111" s="4" t="s">
        <v>49</v>
      </c>
      <c r="C111" s="5" t="s">
        <v>19</v>
      </c>
      <c r="D111" s="5" t="s">
        <v>20</v>
      </c>
      <c r="E111" s="20" t="n">
        <v>78.41</v>
      </c>
      <c r="F111" s="21" t="n">
        <v>92.89</v>
      </c>
      <c r="G111" s="9" t="str">
        <f aca="false">IF(ISNUMBER(E111),IF(E111&gt;=F111,"✓","✗"),"-")</f>
        <v>✗</v>
      </c>
    </row>
    <row r="112" customFormat="false" ht="15" hidden="false" customHeight="false" outlineLevel="0" collapsed="false">
      <c r="A112" s="10" t="s">
        <v>44</v>
      </c>
      <c r="B112" s="10" t="s">
        <v>49</v>
      </c>
      <c r="C112" s="11" t="s">
        <v>21</v>
      </c>
      <c r="D112" s="11" t="s">
        <v>20</v>
      </c>
      <c r="E112" s="22" t="n">
        <v>92.71</v>
      </c>
      <c r="F112" s="23" t="n">
        <v>92.89</v>
      </c>
      <c r="G112" s="15" t="str">
        <f aca="false">IF(ISNUMBER(E112),IF(E112&gt;=F112,"✓","✗"),"-")</f>
        <v>✗</v>
      </c>
    </row>
    <row r="113" customFormat="false" ht="15" hidden="false" customHeight="false" outlineLevel="0" collapsed="false">
      <c r="A113" s="10" t="s">
        <v>44</v>
      </c>
      <c r="B113" s="10" t="s">
        <v>49</v>
      </c>
      <c r="C113" s="16" t="s">
        <v>22</v>
      </c>
      <c r="D113" s="16" t="s">
        <v>20</v>
      </c>
      <c r="E113" s="22" t="n">
        <v>92.21</v>
      </c>
      <c r="F113" s="23" t="n">
        <v>92.89</v>
      </c>
      <c r="G113" s="15" t="str">
        <f aca="false">IF(ISNUMBER(E113),IF(E113&gt;=F113,"✓","✗"),"-")</f>
        <v>✗</v>
      </c>
    </row>
    <row r="114" customFormat="false" ht="15" hidden="false" customHeight="false" outlineLevel="0" collapsed="false">
      <c r="A114" s="10" t="s">
        <v>44</v>
      </c>
      <c r="B114" s="10" t="s">
        <v>49</v>
      </c>
      <c r="C114" s="17" t="s">
        <v>23</v>
      </c>
      <c r="D114" s="17" t="s">
        <v>24</v>
      </c>
      <c r="E114" s="22" t="n">
        <v>77.48</v>
      </c>
      <c r="F114" s="23" t="n">
        <v>92.89</v>
      </c>
      <c r="G114" s="15" t="str">
        <f aca="false">IF(ISNUMBER(E114),IF(E114&gt;=F114,"✓","✗"),"-")</f>
        <v>✗</v>
      </c>
    </row>
    <row r="115" customFormat="false" ht="15" hidden="false" customHeight="false" outlineLevel="0" collapsed="false">
      <c r="A115" s="10" t="s">
        <v>44</v>
      </c>
      <c r="B115" s="10" t="s">
        <v>49</v>
      </c>
      <c r="C115" s="11" t="s">
        <v>25</v>
      </c>
      <c r="D115" s="11" t="s">
        <v>24</v>
      </c>
      <c r="E115" s="22" t="n">
        <v>93.98</v>
      </c>
      <c r="F115" s="23" t="n">
        <v>92.89</v>
      </c>
      <c r="G115" s="15" t="str">
        <f aca="false">IF(ISNUMBER(E115),IF(E115&gt;=F115,"✓","✗"),"-")</f>
        <v>✓</v>
      </c>
    </row>
    <row r="116" customFormat="false" ht="15" hidden="false" customHeight="false" outlineLevel="0" collapsed="false">
      <c r="A116" s="10" t="s">
        <v>44</v>
      </c>
      <c r="B116" s="10" t="s">
        <v>49</v>
      </c>
      <c r="C116" s="16" t="s">
        <v>26</v>
      </c>
      <c r="D116" s="16" t="s">
        <v>24</v>
      </c>
      <c r="E116" s="22" t="n">
        <v>93</v>
      </c>
      <c r="F116" s="23" t="n">
        <v>92.89</v>
      </c>
      <c r="G116" s="15" t="str">
        <f aca="false">IF(ISNUMBER(E116),IF(E116&gt;=F116,"✓","✗"),"-")</f>
        <v>✓</v>
      </c>
    </row>
    <row r="117" customFormat="false" ht="15" hidden="false" customHeight="false" outlineLevel="0" collapsed="false">
      <c r="A117" s="10" t="s">
        <v>44</v>
      </c>
      <c r="B117" s="10" t="s">
        <v>49</v>
      </c>
      <c r="C117" s="17" t="s">
        <v>27</v>
      </c>
      <c r="D117" s="17" t="s">
        <v>28</v>
      </c>
      <c r="E117" s="22" t="n">
        <v>78.69</v>
      </c>
      <c r="F117" s="23" t="n">
        <v>92.89</v>
      </c>
      <c r="G117" s="15" t="str">
        <f aca="false">IF(ISNUMBER(E117),IF(E117&gt;=F117,"✓","✗"),"-")</f>
        <v>✗</v>
      </c>
    </row>
    <row r="118" customFormat="false" ht="15" hidden="false" customHeight="false" outlineLevel="0" collapsed="false">
      <c r="A118" s="10" t="s">
        <v>44</v>
      </c>
      <c r="B118" s="10" t="s">
        <v>49</v>
      </c>
      <c r="C118" s="11" t="s">
        <v>29</v>
      </c>
      <c r="D118" s="11" t="s">
        <v>28</v>
      </c>
      <c r="E118" s="22" t="n">
        <v>92.9</v>
      </c>
      <c r="F118" s="23" t="n">
        <v>92.89</v>
      </c>
      <c r="G118" s="15" t="str">
        <f aca="false">IF(ISNUMBER(E118),IF(E118&gt;=F118,"✓","✗"),"-")</f>
        <v>✓</v>
      </c>
    </row>
    <row r="119" customFormat="false" ht="15" hidden="false" customHeight="false" outlineLevel="0" collapsed="false">
      <c r="A119" s="10" t="s">
        <v>44</v>
      </c>
      <c r="B119" s="10" t="s">
        <v>49</v>
      </c>
      <c r="C119" s="16" t="s">
        <v>30</v>
      </c>
      <c r="D119" s="16" t="s">
        <v>28</v>
      </c>
      <c r="E119" s="22" t="n">
        <v>94.01</v>
      </c>
      <c r="F119" s="23" t="n">
        <v>92.89</v>
      </c>
      <c r="G119" s="15" t="str">
        <f aca="false">IF(ISNUMBER(E119),IF(E119&gt;=F119,"✓","✗"),"-")</f>
        <v>✓</v>
      </c>
    </row>
    <row r="120" customFormat="false" ht="15" hidden="false" customHeight="false" outlineLevel="0" collapsed="false">
      <c r="A120" s="4" t="s">
        <v>44</v>
      </c>
      <c r="B120" s="4" t="s">
        <v>18</v>
      </c>
      <c r="C120" s="5" t="s">
        <v>19</v>
      </c>
      <c r="D120" s="5" t="s">
        <v>20</v>
      </c>
      <c r="E120" s="20" t="n">
        <v>91.77</v>
      </c>
      <c r="F120" s="21" t="n">
        <v>88.07</v>
      </c>
      <c r="G120" s="9" t="str">
        <f aca="false">IF(ISNUMBER(E120),IF(E120&gt;=F120,"✓","✗"),"-")</f>
        <v>✓</v>
      </c>
    </row>
    <row r="121" customFormat="false" ht="15" hidden="false" customHeight="false" outlineLevel="0" collapsed="false">
      <c r="A121" s="10" t="s">
        <v>44</v>
      </c>
      <c r="B121" s="10" t="s">
        <v>18</v>
      </c>
      <c r="C121" s="11" t="s">
        <v>21</v>
      </c>
      <c r="D121" s="11" t="s">
        <v>20</v>
      </c>
      <c r="E121" s="22" t="n">
        <v>91.62</v>
      </c>
      <c r="F121" s="23" t="n">
        <v>88.07</v>
      </c>
      <c r="G121" s="15" t="str">
        <f aca="false">IF(ISNUMBER(E121),IF(E121&gt;=F121,"✓","✗"),"-")</f>
        <v>✓</v>
      </c>
    </row>
    <row r="122" customFormat="false" ht="15" hidden="false" customHeight="false" outlineLevel="0" collapsed="false">
      <c r="A122" s="10" t="s">
        <v>44</v>
      </c>
      <c r="B122" s="10" t="s">
        <v>18</v>
      </c>
      <c r="C122" s="16" t="s">
        <v>22</v>
      </c>
      <c r="D122" s="16" t="s">
        <v>20</v>
      </c>
      <c r="E122" s="22" t="n">
        <v>92.19</v>
      </c>
      <c r="F122" s="23" t="n">
        <v>88.07</v>
      </c>
      <c r="G122" s="15" t="str">
        <f aca="false">IF(ISNUMBER(E122),IF(E122&gt;=F122,"✓","✗"),"-")</f>
        <v>✓</v>
      </c>
    </row>
    <row r="123" customFormat="false" ht="15" hidden="false" customHeight="false" outlineLevel="0" collapsed="false">
      <c r="A123" s="10" t="s">
        <v>44</v>
      </c>
      <c r="B123" s="10" t="s">
        <v>18</v>
      </c>
      <c r="C123" s="17" t="s">
        <v>23</v>
      </c>
      <c r="D123" s="17" t="s">
        <v>24</v>
      </c>
      <c r="E123" s="22" t="n">
        <v>90.41</v>
      </c>
      <c r="F123" s="23" t="n">
        <v>88.07</v>
      </c>
      <c r="G123" s="15" t="str">
        <f aca="false">IF(ISNUMBER(E123),IF(E123&gt;=F123,"✓","✗"),"-")</f>
        <v>✓</v>
      </c>
    </row>
    <row r="124" customFormat="false" ht="15" hidden="false" customHeight="false" outlineLevel="0" collapsed="false">
      <c r="A124" s="10" t="s">
        <v>44</v>
      </c>
      <c r="B124" s="10" t="s">
        <v>18</v>
      </c>
      <c r="C124" s="11" t="s">
        <v>25</v>
      </c>
      <c r="D124" s="11" t="s">
        <v>24</v>
      </c>
      <c r="E124" s="22" t="n">
        <v>91.57</v>
      </c>
      <c r="F124" s="23" t="n">
        <v>88.07</v>
      </c>
      <c r="G124" s="15" t="str">
        <f aca="false">IF(ISNUMBER(E124),IF(E124&gt;=F124,"✓","✗"),"-")</f>
        <v>✓</v>
      </c>
    </row>
    <row r="125" customFormat="false" ht="15" hidden="false" customHeight="false" outlineLevel="0" collapsed="false">
      <c r="A125" s="10" t="s">
        <v>44</v>
      </c>
      <c r="B125" s="10" t="s">
        <v>18</v>
      </c>
      <c r="C125" s="16" t="s">
        <v>26</v>
      </c>
      <c r="D125" s="16" t="s">
        <v>24</v>
      </c>
      <c r="E125" s="22" t="n">
        <v>90.56</v>
      </c>
      <c r="F125" s="23" t="n">
        <v>88.07</v>
      </c>
      <c r="G125" s="15" t="str">
        <f aca="false">IF(ISNUMBER(E125),IF(E125&gt;=F125,"✓","✗"),"-")</f>
        <v>✓</v>
      </c>
    </row>
    <row r="126" customFormat="false" ht="15" hidden="false" customHeight="false" outlineLevel="0" collapsed="false">
      <c r="A126" s="10" t="s">
        <v>44</v>
      </c>
      <c r="B126" s="10" t="s">
        <v>18</v>
      </c>
      <c r="C126" s="17" t="s">
        <v>27</v>
      </c>
      <c r="D126" s="17" t="s">
        <v>28</v>
      </c>
      <c r="E126" s="22" t="n">
        <v>87.08</v>
      </c>
      <c r="F126" s="23" t="n">
        <v>88.07</v>
      </c>
      <c r="G126" s="15" t="str">
        <f aca="false">IF(ISNUMBER(E126),IF(E126&gt;=F126,"✓","✗"),"-")</f>
        <v>✗</v>
      </c>
    </row>
    <row r="127" customFormat="false" ht="15" hidden="false" customHeight="false" outlineLevel="0" collapsed="false">
      <c r="A127" s="10" t="s">
        <v>44</v>
      </c>
      <c r="B127" s="10" t="s">
        <v>18</v>
      </c>
      <c r="C127" s="11" t="s">
        <v>29</v>
      </c>
      <c r="D127" s="11" t="s">
        <v>28</v>
      </c>
      <c r="E127" s="22" t="n">
        <v>91.67</v>
      </c>
      <c r="F127" s="23" t="n">
        <v>88.07</v>
      </c>
      <c r="G127" s="15" t="str">
        <f aca="false">IF(ISNUMBER(E127),IF(E127&gt;=F127,"✓","✗"),"-")</f>
        <v>✓</v>
      </c>
    </row>
    <row r="128" customFormat="false" ht="15" hidden="false" customHeight="false" outlineLevel="0" collapsed="false">
      <c r="A128" s="10" t="s">
        <v>44</v>
      </c>
      <c r="B128" s="10" t="s">
        <v>18</v>
      </c>
      <c r="C128" s="16" t="s">
        <v>30</v>
      </c>
      <c r="D128" s="16" t="s">
        <v>28</v>
      </c>
      <c r="E128" s="22" t="n">
        <v>89.36</v>
      </c>
      <c r="F128" s="23" t="n">
        <v>88.07</v>
      </c>
      <c r="G128" s="15" t="str">
        <f aca="false">IF(ISNUMBER(E128),IF(E128&gt;=F128,"✓","✗"),"-")</f>
        <v>✓</v>
      </c>
    </row>
    <row r="129" customFormat="false" ht="15" hidden="false" customHeight="false" outlineLevel="0" collapsed="false">
      <c r="A129" s="4" t="s">
        <v>44</v>
      </c>
      <c r="B129" s="4" t="s">
        <v>31</v>
      </c>
      <c r="C129" s="5" t="s">
        <v>19</v>
      </c>
      <c r="D129" s="5" t="s">
        <v>20</v>
      </c>
      <c r="E129" s="20" t="n">
        <v>77.04</v>
      </c>
      <c r="F129" s="21" t="n">
        <v>72.6</v>
      </c>
      <c r="G129" s="9" t="str">
        <f aca="false">IF(ISNUMBER(E129),IF(E129&gt;=F129,"✓","✗"),"-")</f>
        <v>✓</v>
      </c>
    </row>
    <row r="130" customFormat="false" ht="15" hidden="false" customHeight="false" outlineLevel="0" collapsed="false">
      <c r="A130" s="10" t="s">
        <v>44</v>
      </c>
      <c r="B130" s="10" t="s">
        <v>31</v>
      </c>
      <c r="C130" s="11" t="s">
        <v>21</v>
      </c>
      <c r="D130" s="11" t="s">
        <v>20</v>
      </c>
      <c r="E130" s="22" t="n">
        <v>71.92</v>
      </c>
      <c r="F130" s="23" t="n">
        <v>72.6</v>
      </c>
      <c r="G130" s="15" t="str">
        <f aca="false">IF(ISNUMBER(E130),IF(E130&gt;=F130,"✓","✗"),"-")</f>
        <v>✗</v>
      </c>
    </row>
    <row r="131" customFormat="false" ht="15" hidden="false" customHeight="false" outlineLevel="0" collapsed="false">
      <c r="A131" s="10" t="s">
        <v>44</v>
      </c>
      <c r="B131" s="10" t="s">
        <v>31</v>
      </c>
      <c r="C131" s="16" t="s">
        <v>22</v>
      </c>
      <c r="D131" s="16" t="s">
        <v>20</v>
      </c>
      <c r="E131" s="22" t="n">
        <v>66.97</v>
      </c>
      <c r="F131" s="23" t="n">
        <v>72.6</v>
      </c>
      <c r="G131" s="15" t="str">
        <f aca="false">IF(ISNUMBER(E131),IF(E131&gt;=F131,"✓","✗"),"-")</f>
        <v>✗</v>
      </c>
    </row>
    <row r="132" customFormat="false" ht="15" hidden="false" customHeight="false" outlineLevel="0" collapsed="false">
      <c r="A132" s="10" t="s">
        <v>44</v>
      </c>
      <c r="B132" s="10" t="s">
        <v>31</v>
      </c>
      <c r="C132" s="17" t="s">
        <v>23</v>
      </c>
      <c r="D132" s="17" t="s">
        <v>24</v>
      </c>
      <c r="E132" s="22" t="n">
        <v>79.35</v>
      </c>
      <c r="F132" s="23" t="n">
        <v>72.6</v>
      </c>
      <c r="G132" s="15" t="str">
        <f aca="false">IF(ISNUMBER(E132),IF(E132&gt;=F132,"✓","✗"),"-")</f>
        <v>✓</v>
      </c>
    </row>
    <row r="133" customFormat="false" ht="15" hidden="false" customHeight="false" outlineLevel="0" collapsed="false">
      <c r="A133" s="10" t="s">
        <v>44</v>
      </c>
      <c r="B133" s="10" t="s">
        <v>31</v>
      </c>
      <c r="C133" s="11" t="s">
        <v>25</v>
      </c>
      <c r="D133" s="11" t="s">
        <v>24</v>
      </c>
      <c r="E133" s="22" t="n">
        <v>78.48</v>
      </c>
      <c r="F133" s="23" t="n">
        <v>72.6</v>
      </c>
      <c r="G133" s="15" t="str">
        <f aca="false">IF(ISNUMBER(E133),IF(E133&gt;=F133,"✓","✗"),"-")</f>
        <v>✓</v>
      </c>
    </row>
    <row r="134" customFormat="false" ht="15" hidden="false" customHeight="false" outlineLevel="0" collapsed="false">
      <c r="A134" s="10" t="s">
        <v>44</v>
      </c>
      <c r="B134" s="10" t="s">
        <v>31</v>
      </c>
      <c r="C134" s="16" t="s">
        <v>26</v>
      </c>
      <c r="D134" s="16" t="s">
        <v>24</v>
      </c>
      <c r="E134" s="22" t="n">
        <v>77.91</v>
      </c>
      <c r="F134" s="23" t="n">
        <v>72.6</v>
      </c>
      <c r="G134" s="15" t="str">
        <f aca="false">IF(ISNUMBER(E134),IF(E134&gt;=F134,"✓","✗"),"-")</f>
        <v>✓</v>
      </c>
    </row>
    <row r="135" customFormat="false" ht="15" hidden="false" customHeight="false" outlineLevel="0" collapsed="false">
      <c r="A135" s="10" t="s">
        <v>44</v>
      </c>
      <c r="B135" s="10" t="s">
        <v>31</v>
      </c>
      <c r="C135" s="17" t="s">
        <v>27</v>
      </c>
      <c r="D135" s="17" t="s">
        <v>28</v>
      </c>
      <c r="E135" s="22" t="n">
        <v>79.96</v>
      </c>
      <c r="F135" s="23" t="n">
        <v>72.6</v>
      </c>
      <c r="G135" s="15" t="str">
        <f aca="false">IF(ISNUMBER(E135),IF(E135&gt;=F135,"✓","✗"),"-")</f>
        <v>✓</v>
      </c>
    </row>
    <row r="136" customFormat="false" ht="15" hidden="false" customHeight="false" outlineLevel="0" collapsed="false">
      <c r="A136" s="10" t="s">
        <v>44</v>
      </c>
      <c r="B136" s="10" t="s">
        <v>31</v>
      </c>
      <c r="C136" s="11" t="s">
        <v>29</v>
      </c>
      <c r="D136" s="11" t="s">
        <v>28</v>
      </c>
      <c r="E136" s="22" t="n">
        <v>75.75</v>
      </c>
      <c r="F136" s="23" t="n">
        <v>72.6</v>
      </c>
      <c r="G136" s="15" t="str">
        <f aca="false">IF(ISNUMBER(E136),IF(E136&gt;=F136,"✓","✗"),"-")</f>
        <v>✓</v>
      </c>
    </row>
    <row r="137" customFormat="false" ht="15" hidden="false" customHeight="false" outlineLevel="0" collapsed="false">
      <c r="A137" s="10" t="s">
        <v>44</v>
      </c>
      <c r="B137" s="10" t="s">
        <v>31</v>
      </c>
      <c r="C137" s="16" t="s">
        <v>30</v>
      </c>
      <c r="D137" s="16" t="s">
        <v>28</v>
      </c>
      <c r="E137" s="22" t="n">
        <v>71.41</v>
      </c>
      <c r="F137" s="23" t="n">
        <v>72.6</v>
      </c>
      <c r="G137" s="15" t="str">
        <f aca="false">IF(ISNUMBER(E137),IF(E137&gt;=F137,"✓","✗"),"-")</f>
        <v>✗</v>
      </c>
    </row>
    <row r="138" customFormat="false" ht="15" hidden="false" customHeight="false" outlineLevel="0" collapsed="false">
      <c r="A138" s="4" t="s">
        <v>44</v>
      </c>
      <c r="B138" s="4" t="s">
        <v>32</v>
      </c>
      <c r="C138" s="5" t="s">
        <v>19</v>
      </c>
      <c r="D138" s="5" t="s">
        <v>20</v>
      </c>
      <c r="E138" s="20" t="n">
        <v>73.56</v>
      </c>
      <c r="F138" s="21" t="n">
        <v>69.37</v>
      </c>
      <c r="G138" s="9" t="str">
        <f aca="false">IF(ISNUMBER(E138),IF(E138&gt;=F138,"✓","✗"),"-")</f>
        <v>✓</v>
      </c>
    </row>
    <row r="139" customFormat="false" ht="15" hidden="false" customHeight="false" outlineLevel="0" collapsed="false">
      <c r="A139" s="10" t="s">
        <v>44</v>
      </c>
      <c r="B139" s="10" t="s">
        <v>32</v>
      </c>
      <c r="C139" s="11" t="s">
        <v>21</v>
      </c>
      <c r="D139" s="11" t="s">
        <v>20</v>
      </c>
      <c r="E139" s="22" t="n">
        <v>72.11</v>
      </c>
      <c r="F139" s="23" t="n">
        <v>69.37</v>
      </c>
      <c r="G139" s="15" t="str">
        <f aca="false">IF(ISNUMBER(E139),IF(E139&gt;=F139,"✓","✗"),"-")</f>
        <v>✓</v>
      </c>
    </row>
    <row r="140" customFormat="false" ht="15" hidden="false" customHeight="false" outlineLevel="0" collapsed="false">
      <c r="A140" s="10" t="s">
        <v>44</v>
      </c>
      <c r="B140" s="10" t="s">
        <v>32</v>
      </c>
      <c r="C140" s="16" t="s">
        <v>22</v>
      </c>
      <c r="D140" s="16" t="s">
        <v>20</v>
      </c>
      <c r="E140" s="22" t="n">
        <v>74.2</v>
      </c>
      <c r="F140" s="23" t="n">
        <v>69.37</v>
      </c>
      <c r="G140" s="15" t="str">
        <f aca="false">IF(ISNUMBER(E140),IF(E140&gt;=F140,"✓","✗"),"-")</f>
        <v>✓</v>
      </c>
    </row>
    <row r="141" customFormat="false" ht="15" hidden="false" customHeight="false" outlineLevel="0" collapsed="false">
      <c r="A141" s="10" t="s">
        <v>44</v>
      </c>
      <c r="B141" s="10" t="s">
        <v>32</v>
      </c>
      <c r="C141" s="17" t="s">
        <v>23</v>
      </c>
      <c r="D141" s="17" t="s">
        <v>24</v>
      </c>
      <c r="E141" s="22" t="n">
        <v>72.02</v>
      </c>
      <c r="F141" s="23" t="n">
        <v>69.37</v>
      </c>
      <c r="G141" s="15" t="str">
        <f aca="false">IF(ISNUMBER(E141),IF(E141&gt;=F141,"✓","✗"),"-")</f>
        <v>✓</v>
      </c>
    </row>
    <row r="142" customFormat="false" ht="15" hidden="false" customHeight="false" outlineLevel="0" collapsed="false">
      <c r="A142" s="10" t="s">
        <v>44</v>
      </c>
      <c r="B142" s="10" t="s">
        <v>32</v>
      </c>
      <c r="C142" s="11" t="s">
        <v>25</v>
      </c>
      <c r="D142" s="11" t="s">
        <v>24</v>
      </c>
      <c r="E142" s="22" t="n">
        <v>74.93</v>
      </c>
      <c r="F142" s="23" t="n">
        <v>69.37</v>
      </c>
      <c r="G142" s="15" t="str">
        <f aca="false">IF(ISNUMBER(E142),IF(E142&gt;=F142,"✓","✗"),"-")</f>
        <v>✓</v>
      </c>
    </row>
    <row r="143" customFormat="false" ht="15" hidden="false" customHeight="false" outlineLevel="0" collapsed="false">
      <c r="A143" s="10" t="s">
        <v>44</v>
      </c>
      <c r="B143" s="10" t="s">
        <v>32</v>
      </c>
      <c r="C143" s="16" t="s">
        <v>26</v>
      </c>
      <c r="D143" s="16" t="s">
        <v>24</v>
      </c>
      <c r="E143" s="22" t="n">
        <v>73.17</v>
      </c>
      <c r="F143" s="23" t="n">
        <v>69.37</v>
      </c>
      <c r="G143" s="15" t="str">
        <f aca="false">IF(ISNUMBER(E143),IF(E143&gt;=F143,"✓","✗"),"-")</f>
        <v>✓</v>
      </c>
    </row>
    <row r="144" customFormat="false" ht="15" hidden="false" customHeight="false" outlineLevel="0" collapsed="false">
      <c r="A144" s="10" t="s">
        <v>44</v>
      </c>
      <c r="B144" s="10" t="s">
        <v>32</v>
      </c>
      <c r="C144" s="17" t="s">
        <v>27</v>
      </c>
      <c r="D144" s="17" t="s">
        <v>28</v>
      </c>
      <c r="E144" s="22" t="n">
        <v>74.83</v>
      </c>
      <c r="F144" s="23" t="n">
        <v>69.37</v>
      </c>
      <c r="G144" s="15" t="str">
        <f aca="false">IF(ISNUMBER(E144),IF(E144&gt;=F144,"✓","✗"),"-")</f>
        <v>✓</v>
      </c>
    </row>
    <row r="145" customFormat="false" ht="15" hidden="false" customHeight="false" outlineLevel="0" collapsed="false">
      <c r="A145" s="10" t="s">
        <v>44</v>
      </c>
      <c r="B145" s="10" t="s">
        <v>32</v>
      </c>
      <c r="C145" s="11" t="s">
        <v>29</v>
      </c>
      <c r="D145" s="11" t="s">
        <v>28</v>
      </c>
      <c r="E145" s="22" t="n">
        <v>72.23</v>
      </c>
      <c r="F145" s="23" t="n">
        <v>69.37</v>
      </c>
      <c r="G145" s="15" t="str">
        <f aca="false">IF(ISNUMBER(E145),IF(E145&gt;=F145,"✓","✗"),"-")</f>
        <v>✓</v>
      </c>
    </row>
    <row r="146" customFormat="false" ht="15" hidden="false" customHeight="false" outlineLevel="0" collapsed="false">
      <c r="A146" s="10" t="s">
        <v>44</v>
      </c>
      <c r="B146" s="10" t="s">
        <v>32</v>
      </c>
      <c r="C146" s="16" t="s">
        <v>30</v>
      </c>
      <c r="D146" s="16" t="s">
        <v>28</v>
      </c>
      <c r="E146" s="22" t="n">
        <v>79.55</v>
      </c>
      <c r="F146" s="23" t="n">
        <v>69.37</v>
      </c>
      <c r="G146" s="15" t="str">
        <f aca="false">IF(ISNUMBER(E146),IF(E146&gt;=F146,"✓","✗"),"-")</f>
        <v>✓</v>
      </c>
    </row>
    <row r="147" customFormat="false" ht="15" hidden="false" customHeight="false" outlineLevel="0" collapsed="false">
      <c r="A147" s="4" t="s">
        <v>44</v>
      </c>
      <c r="B147" s="4" t="s">
        <v>50</v>
      </c>
      <c r="C147" s="5" t="s">
        <v>19</v>
      </c>
      <c r="D147" s="5" t="s">
        <v>20</v>
      </c>
      <c r="E147" s="20" t="n">
        <v>82.82</v>
      </c>
      <c r="F147" s="21" t="n">
        <v>26.58</v>
      </c>
      <c r="G147" s="9" t="str">
        <f aca="false">IF(ISNUMBER(E147),IF(E147&gt;=F147,"✓","✗"),"-")</f>
        <v>✓</v>
      </c>
    </row>
    <row r="148" customFormat="false" ht="15" hidden="false" customHeight="false" outlineLevel="0" collapsed="false">
      <c r="A148" s="10" t="s">
        <v>44</v>
      </c>
      <c r="B148" s="10" t="s">
        <v>50</v>
      </c>
      <c r="C148" s="11" t="s">
        <v>21</v>
      </c>
      <c r="D148" s="11" t="s">
        <v>20</v>
      </c>
      <c r="E148" s="22" t="n">
        <v>51.92</v>
      </c>
      <c r="F148" s="23" t="n">
        <v>26.58</v>
      </c>
      <c r="G148" s="15" t="str">
        <f aca="false">IF(ISNUMBER(E148),IF(E148&gt;=F148,"✓","✗"),"-")</f>
        <v>✓</v>
      </c>
    </row>
    <row r="149" customFormat="false" ht="15" hidden="false" customHeight="false" outlineLevel="0" collapsed="false">
      <c r="A149" s="10" t="s">
        <v>44</v>
      </c>
      <c r="B149" s="10" t="s">
        <v>50</v>
      </c>
      <c r="C149" s="16" t="s">
        <v>22</v>
      </c>
      <c r="D149" s="16" t="s">
        <v>20</v>
      </c>
      <c r="E149" s="22" t="n">
        <v>55.83</v>
      </c>
      <c r="F149" s="23" t="n">
        <v>26.58</v>
      </c>
      <c r="G149" s="15" t="str">
        <f aca="false">IF(ISNUMBER(E149),IF(E149&gt;=F149,"✓","✗"),"-")</f>
        <v>✓</v>
      </c>
    </row>
    <row r="150" customFormat="false" ht="15" hidden="false" customHeight="false" outlineLevel="0" collapsed="false">
      <c r="A150" s="10" t="s">
        <v>44</v>
      </c>
      <c r="B150" s="10" t="s">
        <v>50</v>
      </c>
      <c r="C150" s="17" t="s">
        <v>23</v>
      </c>
      <c r="D150" s="17" t="s">
        <v>24</v>
      </c>
      <c r="E150" s="22" t="n">
        <v>84.42</v>
      </c>
      <c r="F150" s="23" t="n">
        <v>26.58</v>
      </c>
      <c r="G150" s="15" t="str">
        <f aca="false">IF(ISNUMBER(E150),IF(E150&gt;=F150,"✓","✗"),"-")</f>
        <v>✓</v>
      </c>
    </row>
    <row r="151" customFormat="false" ht="15" hidden="false" customHeight="false" outlineLevel="0" collapsed="false">
      <c r="A151" s="10" t="s">
        <v>44</v>
      </c>
      <c r="B151" s="10" t="s">
        <v>50</v>
      </c>
      <c r="C151" s="11" t="s">
        <v>25</v>
      </c>
      <c r="D151" s="11" t="s">
        <v>24</v>
      </c>
      <c r="E151" s="22" t="n">
        <v>27.23</v>
      </c>
      <c r="F151" s="23" t="n">
        <v>26.58</v>
      </c>
      <c r="G151" s="15" t="str">
        <f aca="false">IF(ISNUMBER(E151),IF(E151&gt;=F151,"✓","✗"),"-")</f>
        <v>✓</v>
      </c>
    </row>
    <row r="152" customFormat="false" ht="15" hidden="false" customHeight="false" outlineLevel="0" collapsed="false">
      <c r="A152" s="10" t="s">
        <v>44</v>
      </c>
      <c r="B152" s="10" t="s">
        <v>50</v>
      </c>
      <c r="C152" s="16" t="s">
        <v>26</v>
      </c>
      <c r="D152" s="16" t="s">
        <v>24</v>
      </c>
      <c r="E152" s="22" t="n">
        <v>24.15</v>
      </c>
      <c r="F152" s="23" t="n">
        <v>26.58</v>
      </c>
      <c r="G152" s="15" t="str">
        <f aca="false">IF(ISNUMBER(E152),IF(E152&gt;=F152,"✓","✗"),"-")</f>
        <v>✗</v>
      </c>
    </row>
    <row r="153" customFormat="false" ht="15" hidden="false" customHeight="false" outlineLevel="0" collapsed="false">
      <c r="A153" s="10" t="s">
        <v>44</v>
      </c>
      <c r="B153" s="10" t="s">
        <v>50</v>
      </c>
      <c r="C153" s="17" t="s">
        <v>27</v>
      </c>
      <c r="D153" s="17" t="s">
        <v>28</v>
      </c>
      <c r="E153" s="22" t="n">
        <v>84.68</v>
      </c>
      <c r="F153" s="23" t="n">
        <v>26.58</v>
      </c>
      <c r="G153" s="15" t="str">
        <f aca="false">IF(ISNUMBER(E153),IF(E153&gt;=F153,"✓","✗"),"-")</f>
        <v>✓</v>
      </c>
    </row>
    <row r="154" customFormat="false" ht="15" hidden="false" customHeight="false" outlineLevel="0" collapsed="false">
      <c r="A154" s="10" t="s">
        <v>44</v>
      </c>
      <c r="B154" s="10" t="s">
        <v>50</v>
      </c>
      <c r="C154" s="11" t="s">
        <v>29</v>
      </c>
      <c r="D154" s="11" t="s">
        <v>28</v>
      </c>
      <c r="E154" s="22" t="n">
        <v>31.95</v>
      </c>
      <c r="F154" s="23" t="n">
        <v>26.58</v>
      </c>
      <c r="G154" s="15" t="str">
        <f aca="false">IF(ISNUMBER(E154),IF(E154&gt;=F154,"✓","✗"),"-")</f>
        <v>✓</v>
      </c>
    </row>
    <row r="155" customFormat="false" ht="15" hidden="false" customHeight="false" outlineLevel="0" collapsed="false">
      <c r="A155" s="10" t="s">
        <v>44</v>
      </c>
      <c r="B155" s="10" t="s">
        <v>50</v>
      </c>
      <c r="C155" s="16" t="s">
        <v>30</v>
      </c>
      <c r="D155" s="16" t="s">
        <v>28</v>
      </c>
      <c r="E155" s="22" t="n">
        <v>25.78</v>
      </c>
      <c r="F155" s="23" t="n">
        <v>26.58</v>
      </c>
      <c r="G155" s="15" t="str">
        <f aca="false">IF(ISNUMBER(E155),IF(E155&gt;=F155,"✓","✗"),"-")</f>
        <v>✗</v>
      </c>
    </row>
    <row r="156" customFormat="false" ht="15" hidden="false" customHeight="false" outlineLevel="0" collapsed="false">
      <c r="A156" s="4" t="s">
        <v>44</v>
      </c>
      <c r="B156" s="4" t="s">
        <v>51</v>
      </c>
      <c r="C156" s="5" t="s">
        <v>19</v>
      </c>
      <c r="D156" s="5" t="s">
        <v>20</v>
      </c>
      <c r="E156" s="20" t="n">
        <v>87.2</v>
      </c>
      <c r="F156" s="21" t="n">
        <v>30.69</v>
      </c>
      <c r="G156" s="9" t="str">
        <f aca="false">IF(ISNUMBER(E156),IF(E156&gt;=F156,"✓","✗"),"-")</f>
        <v>✓</v>
      </c>
    </row>
    <row r="157" customFormat="false" ht="15" hidden="false" customHeight="false" outlineLevel="0" collapsed="false">
      <c r="A157" s="10" t="s">
        <v>44</v>
      </c>
      <c r="B157" s="10" t="s">
        <v>51</v>
      </c>
      <c r="C157" s="11" t="s">
        <v>21</v>
      </c>
      <c r="D157" s="11" t="s">
        <v>20</v>
      </c>
      <c r="E157" s="22" t="n">
        <v>69.83</v>
      </c>
      <c r="F157" s="23" t="n">
        <v>30.69</v>
      </c>
      <c r="G157" s="15" t="str">
        <f aca="false">IF(ISNUMBER(E157),IF(E157&gt;=F157,"✓","✗"),"-")</f>
        <v>✓</v>
      </c>
    </row>
    <row r="158" customFormat="false" ht="15" hidden="false" customHeight="false" outlineLevel="0" collapsed="false">
      <c r="A158" s="10" t="s">
        <v>44</v>
      </c>
      <c r="B158" s="10" t="s">
        <v>51</v>
      </c>
      <c r="C158" s="16" t="s">
        <v>22</v>
      </c>
      <c r="D158" s="16" t="s">
        <v>20</v>
      </c>
      <c r="E158" s="22" t="n">
        <v>73.01</v>
      </c>
      <c r="F158" s="23" t="n">
        <v>30.69</v>
      </c>
      <c r="G158" s="15" t="str">
        <f aca="false">IF(ISNUMBER(E158),IF(E158&gt;=F158,"✓","✗"),"-")</f>
        <v>✓</v>
      </c>
    </row>
    <row r="159" customFormat="false" ht="15" hidden="false" customHeight="false" outlineLevel="0" collapsed="false">
      <c r="A159" s="10" t="s">
        <v>44</v>
      </c>
      <c r="B159" s="10" t="s">
        <v>51</v>
      </c>
      <c r="C159" s="17" t="s">
        <v>23</v>
      </c>
      <c r="D159" s="17" t="s">
        <v>24</v>
      </c>
      <c r="E159" s="22" t="n">
        <v>90.55</v>
      </c>
      <c r="F159" s="23" t="n">
        <v>30.69</v>
      </c>
      <c r="G159" s="15" t="str">
        <f aca="false">IF(ISNUMBER(E159),IF(E159&gt;=F159,"✓","✗"),"-")</f>
        <v>✓</v>
      </c>
    </row>
    <row r="160" customFormat="false" ht="15" hidden="false" customHeight="false" outlineLevel="0" collapsed="false">
      <c r="A160" s="10" t="s">
        <v>44</v>
      </c>
      <c r="B160" s="10" t="s">
        <v>51</v>
      </c>
      <c r="C160" s="11" t="s">
        <v>25</v>
      </c>
      <c r="D160" s="11" t="s">
        <v>24</v>
      </c>
      <c r="E160" s="22" t="n">
        <v>47.84</v>
      </c>
      <c r="F160" s="23" t="n">
        <v>30.69</v>
      </c>
      <c r="G160" s="15" t="str">
        <f aca="false">IF(ISNUMBER(E160),IF(E160&gt;=F160,"✓","✗"),"-")</f>
        <v>✓</v>
      </c>
    </row>
    <row r="161" customFormat="false" ht="15" hidden="false" customHeight="false" outlineLevel="0" collapsed="false">
      <c r="A161" s="10" t="s">
        <v>44</v>
      </c>
      <c r="B161" s="10" t="s">
        <v>51</v>
      </c>
      <c r="C161" s="16" t="s">
        <v>26</v>
      </c>
      <c r="D161" s="16" t="s">
        <v>24</v>
      </c>
      <c r="E161" s="22" t="n">
        <v>42.28</v>
      </c>
      <c r="F161" s="23" t="n">
        <v>30.69</v>
      </c>
      <c r="G161" s="15" t="str">
        <f aca="false">IF(ISNUMBER(E161),IF(E161&gt;=F161,"✓","✗"),"-")</f>
        <v>✓</v>
      </c>
    </row>
    <row r="162" customFormat="false" ht="15" hidden="false" customHeight="false" outlineLevel="0" collapsed="false">
      <c r="A162" s="10" t="s">
        <v>44</v>
      </c>
      <c r="B162" s="10" t="s">
        <v>51</v>
      </c>
      <c r="C162" s="17" t="s">
        <v>27</v>
      </c>
      <c r="D162" s="17" t="s">
        <v>28</v>
      </c>
      <c r="E162" s="22" t="n">
        <v>88.31</v>
      </c>
      <c r="F162" s="23" t="n">
        <v>30.69</v>
      </c>
      <c r="G162" s="15" t="str">
        <f aca="false">IF(ISNUMBER(E162),IF(E162&gt;=F162,"✓","✗"),"-")</f>
        <v>✓</v>
      </c>
    </row>
    <row r="163" customFormat="false" ht="15" hidden="false" customHeight="false" outlineLevel="0" collapsed="false">
      <c r="A163" s="10" t="s">
        <v>44</v>
      </c>
      <c r="B163" s="10" t="s">
        <v>51</v>
      </c>
      <c r="C163" s="11" t="s">
        <v>29</v>
      </c>
      <c r="D163" s="11" t="s">
        <v>28</v>
      </c>
      <c r="E163" s="22" t="n">
        <v>52.68</v>
      </c>
      <c r="F163" s="23" t="n">
        <v>30.69</v>
      </c>
      <c r="G163" s="15" t="str">
        <f aca="false">IF(ISNUMBER(E163),IF(E163&gt;=F163,"✓","✗"),"-")</f>
        <v>✓</v>
      </c>
    </row>
    <row r="164" customFormat="false" ht="15" hidden="false" customHeight="false" outlineLevel="0" collapsed="false">
      <c r="A164" s="10" t="s">
        <v>44</v>
      </c>
      <c r="B164" s="10" t="s">
        <v>51</v>
      </c>
      <c r="C164" s="16" t="s">
        <v>30</v>
      </c>
      <c r="D164" s="16" t="s">
        <v>28</v>
      </c>
      <c r="E164" s="22" t="n">
        <v>46.08</v>
      </c>
      <c r="F164" s="23" t="n">
        <v>30.69</v>
      </c>
      <c r="G164" s="15" t="str">
        <f aca="false">IF(ISNUMBER(E164),IF(E164&gt;=F164,"✓","✗"),"-")</f>
        <v>✓</v>
      </c>
    </row>
    <row r="166" customFormat="false" ht="15" hidden="false" customHeight="false" outlineLevel="0" collapsed="false">
      <c r="A166" s="3" t="s">
        <v>2</v>
      </c>
      <c r="B166" s="3" t="s">
        <v>3</v>
      </c>
      <c r="C166" s="3" t="s">
        <v>4</v>
      </c>
      <c r="D166" s="3" t="s">
        <v>5</v>
      </c>
      <c r="E166" s="3" t="s">
        <v>52</v>
      </c>
      <c r="F166" s="3" t="s">
        <v>53</v>
      </c>
      <c r="G166" s="3" t="s">
        <v>54</v>
      </c>
      <c r="H166" s="3" t="s">
        <v>55</v>
      </c>
      <c r="I166" s="3" t="s">
        <v>56</v>
      </c>
      <c r="J166" s="3" t="s">
        <v>57</v>
      </c>
      <c r="K166" s="3" t="s">
        <v>58</v>
      </c>
      <c r="L166" s="3"/>
      <c r="M166" s="3"/>
      <c r="N166" s="3"/>
      <c r="O166" s="3"/>
      <c r="P166" s="3"/>
    </row>
    <row r="167" customFormat="false" ht="15" hidden="false" customHeight="false" outlineLevel="0" collapsed="false">
      <c r="A167" s="4" t="s">
        <v>44</v>
      </c>
      <c r="B167" s="4" t="s">
        <v>18</v>
      </c>
      <c r="C167" s="5" t="s">
        <v>19</v>
      </c>
      <c r="D167" s="5" t="s">
        <v>20</v>
      </c>
      <c r="E167" s="24" t="n">
        <v>96.4</v>
      </c>
      <c r="F167" s="24" t="n">
        <v>92.1</v>
      </c>
      <c r="G167" s="7" t="n">
        <f aca="false">IF(AND(ISNUMBER(E167),ISNUMBER(F167)),IF(E167+F167&gt;0,2*E167*F167/(E167+F167),0),"-")</f>
        <v>94.2009549071618</v>
      </c>
      <c r="H167" s="8" t="n">
        <v>86.6</v>
      </c>
      <c r="I167" s="8" t="n">
        <v>80.3</v>
      </c>
      <c r="J167" s="8" t="n">
        <v>83.3</v>
      </c>
      <c r="K167" s="9" t="str">
        <f aca="false">IF(ISNUMBER(G167),IF(G167&gt;=J167,"✓","✗"),"-")</f>
        <v>✓</v>
      </c>
    </row>
    <row r="168" customFormat="false" ht="15" hidden="false" customHeight="false" outlineLevel="0" collapsed="false">
      <c r="A168" s="10" t="s">
        <v>44</v>
      </c>
      <c r="B168" s="10" t="s">
        <v>18</v>
      </c>
      <c r="C168" s="11" t="s">
        <v>21</v>
      </c>
      <c r="D168" s="11" t="s">
        <v>20</v>
      </c>
      <c r="E168" s="25" t="n">
        <v>96.4</v>
      </c>
      <c r="F168" s="25" t="n">
        <v>93.5</v>
      </c>
      <c r="G168" s="13" t="n">
        <f aca="false">IF(AND(ISNUMBER(E168),ISNUMBER(F168)),IF(E168+F168&gt;0,2*E168*F168/(E168+F168),0),"-")</f>
        <v>94.9278567667193</v>
      </c>
      <c r="H168" s="14" t="n">
        <v>86.6</v>
      </c>
      <c r="I168" s="14" t="n">
        <v>80.3</v>
      </c>
      <c r="J168" s="14" t="n">
        <v>83.3</v>
      </c>
      <c r="K168" s="15" t="str">
        <f aca="false">IF(ISNUMBER(G168),IF(G168&gt;=J168,"✓","✗"),"-")</f>
        <v>✓</v>
      </c>
    </row>
    <row r="169" customFormat="false" ht="15" hidden="false" customHeight="false" outlineLevel="0" collapsed="false">
      <c r="A169" s="10" t="s">
        <v>44</v>
      </c>
      <c r="B169" s="10" t="s">
        <v>18</v>
      </c>
      <c r="C169" s="16" t="s">
        <v>22</v>
      </c>
      <c r="D169" s="16" t="s">
        <v>20</v>
      </c>
      <c r="E169" s="25" t="n">
        <v>96.6</v>
      </c>
      <c r="F169" s="25" t="n">
        <v>91.9</v>
      </c>
      <c r="G169" s="13" t="n">
        <f aca="false">IF(AND(ISNUMBER(E169),ISNUMBER(F169)),IF(E169+F169&gt;0,2*E169*F169/(E169+F169),0),"-")</f>
        <v>94.1914058355438</v>
      </c>
      <c r="H169" s="14" t="n">
        <v>86.6</v>
      </c>
      <c r="I169" s="14" t="n">
        <v>80.3</v>
      </c>
      <c r="J169" s="14" t="n">
        <v>83.3</v>
      </c>
      <c r="K169" s="15" t="str">
        <f aca="false">IF(ISNUMBER(G169),IF(G169&gt;=J169,"✓","✗"),"-")</f>
        <v>✓</v>
      </c>
    </row>
    <row r="170" customFormat="false" ht="15" hidden="false" customHeight="false" outlineLevel="0" collapsed="false">
      <c r="A170" s="10" t="s">
        <v>44</v>
      </c>
      <c r="B170" s="10" t="s">
        <v>18</v>
      </c>
      <c r="C170" s="17" t="s">
        <v>23</v>
      </c>
      <c r="D170" s="17" t="s">
        <v>24</v>
      </c>
      <c r="E170" s="25" t="n">
        <v>95</v>
      </c>
      <c r="F170" s="25" t="n">
        <v>92.8</v>
      </c>
      <c r="G170" s="13" t="n">
        <f aca="false">IF(AND(ISNUMBER(E170),ISNUMBER(F170)),IF(E170+F170&gt;0,2*E170*F170/(E170+F170),0),"-")</f>
        <v>93.8871139510117</v>
      </c>
      <c r="H170" s="14" t="n">
        <v>86.6</v>
      </c>
      <c r="I170" s="14" t="n">
        <v>80.3</v>
      </c>
      <c r="J170" s="14" t="n">
        <v>83.3</v>
      </c>
      <c r="K170" s="15" t="str">
        <f aca="false">IF(ISNUMBER(G170),IF(G170&gt;=J170,"✓","✗"),"-")</f>
        <v>✓</v>
      </c>
    </row>
    <row r="171" customFormat="false" ht="15" hidden="false" customHeight="false" outlineLevel="0" collapsed="false">
      <c r="A171" s="10" t="s">
        <v>44</v>
      </c>
      <c r="B171" s="10" t="s">
        <v>18</v>
      </c>
      <c r="C171" s="11" t="s">
        <v>25</v>
      </c>
      <c r="D171" s="11" t="s">
        <v>24</v>
      </c>
      <c r="E171" s="25" t="n">
        <v>95.3</v>
      </c>
      <c r="F171" s="25" t="n">
        <v>93.9</v>
      </c>
      <c r="G171" s="13" t="n">
        <f aca="false">IF(AND(ISNUMBER(E171),ISNUMBER(F171)),IF(E171+F171&gt;0,2*E171*F171/(E171+F171),0),"-")</f>
        <v>94.5948202959831</v>
      </c>
      <c r="H171" s="14" t="n">
        <v>86.6</v>
      </c>
      <c r="I171" s="14" t="n">
        <v>80.3</v>
      </c>
      <c r="J171" s="14" t="n">
        <v>83.3</v>
      </c>
      <c r="K171" s="15" t="str">
        <f aca="false">IF(ISNUMBER(G171),IF(G171&gt;=J171,"✓","✗"),"-")</f>
        <v>✓</v>
      </c>
    </row>
    <row r="172" customFormat="false" ht="15" hidden="false" customHeight="false" outlineLevel="0" collapsed="false">
      <c r="A172" s="10" t="s">
        <v>44</v>
      </c>
      <c r="B172" s="10" t="s">
        <v>18</v>
      </c>
      <c r="C172" s="16" t="s">
        <v>26</v>
      </c>
      <c r="D172" s="16" t="s">
        <v>24</v>
      </c>
      <c r="E172" s="25" t="n">
        <v>95.7</v>
      </c>
      <c r="F172" s="25" t="n">
        <v>93.1</v>
      </c>
      <c r="G172" s="13" t="n">
        <f aca="false">IF(AND(ISNUMBER(E172),ISNUMBER(F172)),IF(E172+F172&gt;0,2*E172*F172/(E172+F172),0),"-")</f>
        <v>94.3820974576271</v>
      </c>
      <c r="H172" s="14" t="n">
        <v>86.6</v>
      </c>
      <c r="I172" s="14" t="n">
        <v>80.3</v>
      </c>
      <c r="J172" s="14" t="n">
        <v>83.3</v>
      </c>
      <c r="K172" s="15" t="str">
        <f aca="false">IF(ISNUMBER(G172),IF(G172&gt;=J172,"✓","✗"),"-")</f>
        <v>✓</v>
      </c>
    </row>
    <row r="173" customFormat="false" ht="15" hidden="false" customHeight="false" outlineLevel="0" collapsed="false">
      <c r="A173" s="10" t="s">
        <v>44</v>
      </c>
      <c r="B173" s="10" t="s">
        <v>18</v>
      </c>
      <c r="C173" s="17" t="s">
        <v>27</v>
      </c>
      <c r="D173" s="17" t="s">
        <v>28</v>
      </c>
      <c r="E173" s="25" t="n">
        <v>93.4</v>
      </c>
      <c r="F173" s="25" t="n">
        <v>93.3</v>
      </c>
      <c r="G173" s="13" t="n">
        <f aca="false">IF(AND(ISNUMBER(E173),ISNUMBER(F173)),IF(E173+F173&gt;0,2*E173*F173/(E173+F173),0),"-")</f>
        <v>93.3499732190681</v>
      </c>
      <c r="H173" s="14" t="n">
        <v>86.6</v>
      </c>
      <c r="I173" s="14" t="n">
        <v>80.3</v>
      </c>
      <c r="J173" s="14" t="n">
        <v>83.3</v>
      </c>
      <c r="K173" s="15" t="str">
        <f aca="false">IF(ISNUMBER(G173),IF(G173&gt;=J173,"✓","✗"),"-")</f>
        <v>✓</v>
      </c>
    </row>
    <row r="174" customFormat="false" ht="15" hidden="false" customHeight="false" outlineLevel="0" collapsed="false">
      <c r="A174" s="10" t="s">
        <v>44</v>
      </c>
      <c r="B174" s="10" t="s">
        <v>18</v>
      </c>
      <c r="C174" s="11" t="s">
        <v>29</v>
      </c>
      <c r="D174" s="11" t="s">
        <v>28</v>
      </c>
      <c r="E174" s="25" t="n">
        <v>95.6</v>
      </c>
      <c r="F174" s="25" t="n">
        <v>89.8</v>
      </c>
      <c r="G174" s="13" t="n">
        <f aca="false">IF(AND(ISNUMBER(E174),ISNUMBER(F174)),IF(E174+F174&gt;0,2*E174*F174/(E174+F174),0),"-")</f>
        <v>92.6092772384035</v>
      </c>
      <c r="H174" s="14" t="n">
        <v>86.6</v>
      </c>
      <c r="I174" s="14" t="n">
        <v>80.3</v>
      </c>
      <c r="J174" s="14" t="n">
        <v>83.3</v>
      </c>
      <c r="K174" s="15" t="str">
        <f aca="false">IF(ISNUMBER(G174),IF(G174&gt;=J174,"✓","✗"),"-")</f>
        <v>✓</v>
      </c>
    </row>
    <row r="175" customFormat="false" ht="15" hidden="false" customHeight="false" outlineLevel="0" collapsed="false">
      <c r="A175" s="10" t="s">
        <v>44</v>
      </c>
      <c r="B175" s="10" t="s">
        <v>18</v>
      </c>
      <c r="C175" s="16" t="s">
        <v>30</v>
      </c>
      <c r="D175" s="16" t="s">
        <v>28</v>
      </c>
      <c r="E175" s="25" t="n">
        <v>95.5</v>
      </c>
      <c r="F175" s="25" t="n">
        <v>90.9</v>
      </c>
      <c r="G175" s="13" t="n">
        <f aca="false">IF(AND(ISNUMBER(E175),ISNUMBER(F175)),IF(E175+F175&gt;0,2*E175*F175/(E175+F175),0),"-")</f>
        <v>93.1432403433476</v>
      </c>
      <c r="H175" s="14" t="n">
        <v>86.6</v>
      </c>
      <c r="I175" s="14" t="n">
        <v>80.3</v>
      </c>
      <c r="J175" s="14" t="n">
        <v>83.3</v>
      </c>
      <c r="K175" s="15" t="str">
        <f aca="false">IF(ISNUMBER(G175),IF(G175&gt;=J175,"✓","✗"),"-")</f>
        <v>✓</v>
      </c>
    </row>
    <row r="176" customFormat="false" ht="15" hidden="false" customHeight="false" outlineLevel="0" collapsed="false">
      <c r="A176" s="4" t="s">
        <v>44</v>
      </c>
      <c r="B176" s="4" t="s">
        <v>31</v>
      </c>
      <c r="C176" s="5" t="s">
        <v>19</v>
      </c>
      <c r="D176" s="5" t="s">
        <v>20</v>
      </c>
      <c r="E176" s="24" t="n">
        <v>94.2</v>
      </c>
      <c r="F176" s="24" t="n">
        <v>95.8</v>
      </c>
      <c r="G176" s="7" t="n">
        <f aca="false">IF(AND(ISNUMBER(E176),ISNUMBER(F176)),IF(E176+F176&gt;0,2*E176*F176/(E176+F176),0),"-")</f>
        <v>94.9932631578948</v>
      </c>
      <c r="H176" s="8" t="n">
        <v>86.6</v>
      </c>
      <c r="I176" s="8" t="n">
        <v>81.1</v>
      </c>
      <c r="J176" s="8" t="n">
        <v>83.8</v>
      </c>
      <c r="K176" s="9" t="str">
        <f aca="false">IF(ISNUMBER(G176),IF(G176&gt;=J176,"✓","✗"),"-")</f>
        <v>✓</v>
      </c>
    </row>
    <row r="177" customFormat="false" ht="15" hidden="false" customHeight="false" outlineLevel="0" collapsed="false">
      <c r="A177" s="10" t="s">
        <v>44</v>
      </c>
      <c r="B177" s="10" t="s">
        <v>31</v>
      </c>
      <c r="C177" s="11" t="s">
        <v>21</v>
      </c>
      <c r="D177" s="11" t="s">
        <v>20</v>
      </c>
      <c r="E177" s="25" t="n">
        <v>95.1</v>
      </c>
      <c r="F177" s="25" t="n">
        <v>95.5</v>
      </c>
      <c r="G177" s="13" t="n">
        <f aca="false">IF(AND(ISNUMBER(E177),ISNUMBER(F177)),IF(E177+F177&gt;0,2*E177*F177/(E177+F177),0),"-")</f>
        <v>95.2995802728227</v>
      </c>
      <c r="H177" s="14" t="n">
        <v>86.6</v>
      </c>
      <c r="I177" s="14" t="n">
        <v>81.1</v>
      </c>
      <c r="J177" s="14" t="n">
        <v>83.8</v>
      </c>
      <c r="K177" s="15" t="str">
        <f aca="false">IF(ISNUMBER(G177),IF(G177&gt;=J177,"✓","✗"),"-")</f>
        <v>✓</v>
      </c>
    </row>
    <row r="178" customFormat="false" ht="15" hidden="false" customHeight="false" outlineLevel="0" collapsed="false">
      <c r="A178" s="10" t="s">
        <v>44</v>
      </c>
      <c r="B178" s="10" t="s">
        <v>31</v>
      </c>
      <c r="C178" s="16" t="s">
        <v>22</v>
      </c>
      <c r="D178" s="16" t="s">
        <v>20</v>
      </c>
      <c r="E178" s="25" t="n">
        <v>93.1</v>
      </c>
      <c r="F178" s="25" t="n">
        <v>96.8</v>
      </c>
      <c r="G178" s="13" t="n">
        <f aca="false">IF(AND(ISNUMBER(E178),ISNUMBER(F178)),IF(E178+F178&gt;0,2*E178*F178/(E178+F178),0),"-")</f>
        <v>94.9139547130069</v>
      </c>
      <c r="H178" s="14" t="n">
        <v>86.6</v>
      </c>
      <c r="I178" s="14" t="n">
        <v>81.1</v>
      </c>
      <c r="J178" s="14" t="n">
        <v>83.8</v>
      </c>
      <c r="K178" s="15" t="str">
        <f aca="false">IF(ISNUMBER(G178),IF(G178&gt;=J178,"✓","✗"),"-")</f>
        <v>✓</v>
      </c>
    </row>
    <row r="179" customFormat="false" ht="15" hidden="false" customHeight="false" outlineLevel="0" collapsed="false">
      <c r="A179" s="10" t="s">
        <v>44</v>
      </c>
      <c r="B179" s="10" t="s">
        <v>31</v>
      </c>
      <c r="C179" s="17" t="s">
        <v>23</v>
      </c>
      <c r="D179" s="17" t="s">
        <v>24</v>
      </c>
      <c r="E179" s="25" t="n">
        <v>94.6</v>
      </c>
      <c r="F179" s="25" t="n">
        <v>94.8</v>
      </c>
      <c r="G179" s="13" t="n">
        <f aca="false">IF(AND(ISNUMBER(E179),ISNUMBER(F179)),IF(E179+F179&gt;0,2*E179*F179/(E179+F179),0),"-")</f>
        <v>94.6998944033791</v>
      </c>
      <c r="H179" s="14" t="n">
        <v>86.6</v>
      </c>
      <c r="I179" s="14" t="n">
        <v>81.1</v>
      </c>
      <c r="J179" s="14" t="n">
        <v>83.8</v>
      </c>
      <c r="K179" s="15" t="str">
        <f aca="false">IF(ISNUMBER(G179),IF(G179&gt;=J179,"✓","✗"),"-")</f>
        <v>✓</v>
      </c>
    </row>
    <row r="180" customFormat="false" ht="15" hidden="false" customHeight="false" outlineLevel="0" collapsed="false">
      <c r="A180" s="10" t="s">
        <v>44</v>
      </c>
      <c r="B180" s="10" t="s">
        <v>31</v>
      </c>
      <c r="C180" s="11" t="s">
        <v>25</v>
      </c>
      <c r="D180" s="11" t="s">
        <v>24</v>
      </c>
      <c r="E180" s="25" t="n">
        <v>95.1</v>
      </c>
      <c r="F180" s="25" t="n">
        <v>94.2</v>
      </c>
      <c r="G180" s="13" t="n">
        <f aca="false">IF(AND(ISNUMBER(E180),ISNUMBER(F180)),IF(E180+F180&gt;0,2*E180*F180/(E180+F180),0),"-")</f>
        <v>94.6478605388273</v>
      </c>
      <c r="H180" s="14" t="n">
        <v>86.6</v>
      </c>
      <c r="I180" s="14" t="n">
        <v>81.1</v>
      </c>
      <c r="J180" s="14" t="n">
        <v>83.8</v>
      </c>
      <c r="K180" s="15" t="str">
        <f aca="false">IF(ISNUMBER(G180),IF(G180&gt;=J180,"✓","✗"),"-")</f>
        <v>✓</v>
      </c>
    </row>
    <row r="181" customFormat="false" ht="15" hidden="false" customHeight="false" outlineLevel="0" collapsed="false">
      <c r="A181" s="10" t="s">
        <v>44</v>
      </c>
      <c r="B181" s="10" t="s">
        <v>31</v>
      </c>
      <c r="C181" s="16" t="s">
        <v>26</v>
      </c>
      <c r="D181" s="16" t="s">
        <v>24</v>
      </c>
      <c r="E181" s="25" t="n">
        <v>94</v>
      </c>
      <c r="F181" s="25" t="n">
        <v>95.9</v>
      </c>
      <c r="G181" s="13" t="n">
        <f aca="false">IF(AND(ISNUMBER(E181),ISNUMBER(F181)),IF(E181+F181&gt;0,2*E181*F181/(E181+F181),0),"-")</f>
        <v>94.940494997367</v>
      </c>
      <c r="H181" s="14" t="n">
        <v>86.6</v>
      </c>
      <c r="I181" s="14" t="n">
        <v>81.1</v>
      </c>
      <c r="J181" s="14" t="n">
        <v>83.8</v>
      </c>
      <c r="K181" s="15" t="str">
        <f aca="false">IF(ISNUMBER(G181),IF(G181&gt;=J181,"✓","✗"),"-")</f>
        <v>✓</v>
      </c>
    </row>
    <row r="182" customFormat="false" ht="15" hidden="false" customHeight="false" outlineLevel="0" collapsed="false">
      <c r="A182" s="10" t="s">
        <v>44</v>
      </c>
      <c r="B182" s="10" t="s">
        <v>31</v>
      </c>
      <c r="C182" s="17" t="s">
        <v>27</v>
      </c>
      <c r="D182" s="17" t="s">
        <v>28</v>
      </c>
      <c r="E182" s="25" t="n">
        <v>94.6</v>
      </c>
      <c r="F182" s="25" t="n">
        <v>94.6</v>
      </c>
      <c r="G182" s="13" t="n">
        <f aca="false">IF(AND(ISNUMBER(E182),ISNUMBER(F182)),IF(E182+F182&gt;0,2*E182*F182/(E182+F182),0),"-")</f>
        <v>94.6</v>
      </c>
      <c r="H182" s="14" t="n">
        <v>86.6</v>
      </c>
      <c r="I182" s="14" t="n">
        <v>81.1</v>
      </c>
      <c r="J182" s="14" t="n">
        <v>83.8</v>
      </c>
      <c r="K182" s="15" t="str">
        <f aca="false">IF(ISNUMBER(G182),IF(G182&gt;=J182,"✓","✗"),"-")</f>
        <v>✓</v>
      </c>
    </row>
    <row r="183" customFormat="false" ht="15" hidden="false" customHeight="false" outlineLevel="0" collapsed="false">
      <c r="A183" s="10" t="s">
        <v>44</v>
      </c>
      <c r="B183" s="10" t="s">
        <v>31</v>
      </c>
      <c r="C183" s="11" t="s">
        <v>29</v>
      </c>
      <c r="D183" s="11" t="s">
        <v>28</v>
      </c>
      <c r="E183" s="25" t="n">
        <v>93.2</v>
      </c>
      <c r="F183" s="25" t="n">
        <v>94.6</v>
      </c>
      <c r="G183" s="13" t="n">
        <f aca="false">IF(AND(ISNUMBER(E183),ISNUMBER(F183)),IF(E183+F183&gt;0,2*E183*F183/(E183+F183),0),"-")</f>
        <v>93.8947816826411</v>
      </c>
      <c r="H183" s="14" t="n">
        <v>86.6</v>
      </c>
      <c r="I183" s="14" t="n">
        <v>81.1</v>
      </c>
      <c r="J183" s="14" t="n">
        <v>83.8</v>
      </c>
      <c r="K183" s="15" t="str">
        <f aca="false">IF(ISNUMBER(G183),IF(G183&gt;=J183,"✓","✗"),"-")</f>
        <v>✓</v>
      </c>
    </row>
    <row r="184" customFormat="false" ht="15" hidden="false" customHeight="false" outlineLevel="0" collapsed="false">
      <c r="A184" s="10" t="s">
        <v>44</v>
      </c>
      <c r="B184" s="10" t="s">
        <v>31</v>
      </c>
      <c r="C184" s="16" t="s">
        <v>30</v>
      </c>
      <c r="D184" s="16" t="s">
        <v>28</v>
      </c>
      <c r="E184" s="25" t="n">
        <v>92.8</v>
      </c>
      <c r="F184" s="25" t="n">
        <v>95.6</v>
      </c>
      <c r="G184" s="13" t="n">
        <f aca="false">IF(AND(ISNUMBER(E184),ISNUMBER(F184)),IF(E184+F184&gt;0,2*E184*F184/(E184+F184),0),"-")</f>
        <v>94.1791932059448</v>
      </c>
      <c r="H184" s="14" t="n">
        <v>86.6</v>
      </c>
      <c r="I184" s="14" t="n">
        <v>81.1</v>
      </c>
      <c r="J184" s="14" t="n">
        <v>83.8</v>
      </c>
      <c r="K184" s="15" t="str">
        <f aca="false">IF(ISNUMBER(G184),IF(G184&gt;=J184,"✓","✗"),"-")</f>
        <v>✓</v>
      </c>
    </row>
    <row r="185" customFormat="false" ht="15" hidden="false" customHeight="false" outlineLevel="0" collapsed="false">
      <c r="A185" s="4" t="s">
        <v>44</v>
      </c>
      <c r="B185" s="4" t="s">
        <v>32</v>
      </c>
      <c r="C185" s="5" t="s">
        <v>19</v>
      </c>
      <c r="D185" s="5" t="s">
        <v>20</v>
      </c>
      <c r="E185" s="24" t="n">
        <v>86.8</v>
      </c>
      <c r="F185" s="24" t="n">
        <v>91.6</v>
      </c>
      <c r="G185" s="7" t="n">
        <f aca="false">IF(AND(ISNUMBER(E185),ISNUMBER(F185)),IF(E185+F185&gt;0,2*E185*F185/(E185+F185),0),"-")</f>
        <v>89.1354260089686</v>
      </c>
      <c r="H185" s="8" t="n">
        <v>70.1</v>
      </c>
      <c r="I185" s="8" t="n">
        <v>53.3</v>
      </c>
      <c r="J185" s="8" t="n">
        <v>60.6</v>
      </c>
      <c r="K185" s="9" t="str">
        <f aca="false">IF(ISNUMBER(G185),IF(G185&gt;=J185,"✓","✗"),"-")</f>
        <v>✓</v>
      </c>
    </row>
    <row r="186" customFormat="false" ht="15" hidden="false" customHeight="false" outlineLevel="0" collapsed="false">
      <c r="A186" s="10" t="s">
        <v>44</v>
      </c>
      <c r="B186" s="10" t="s">
        <v>32</v>
      </c>
      <c r="C186" s="11" t="s">
        <v>21</v>
      </c>
      <c r="D186" s="11" t="s">
        <v>20</v>
      </c>
      <c r="E186" s="25" t="n">
        <v>90.4</v>
      </c>
      <c r="F186" s="25" t="n">
        <v>91.5</v>
      </c>
      <c r="G186" s="13" t="n">
        <f aca="false">IF(AND(ISNUMBER(E186),ISNUMBER(F186)),IF(E186+F186&gt;0,2*E186*F186/(E186+F186),0),"-")</f>
        <v>90.9466739967015</v>
      </c>
      <c r="H186" s="14" t="n">
        <v>70.1</v>
      </c>
      <c r="I186" s="14" t="n">
        <v>53.3</v>
      </c>
      <c r="J186" s="14" t="n">
        <v>60.6</v>
      </c>
      <c r="K186" s="15" t="str">
        <f aca="false">IF(ISNUMBER(G186),IF(G186&gt;=J186,"✓","✗"),"-")</f>
        <v>✓</v>
      </c>
    </row>
    <row r="187" customFormat="false" ht="15" hidden="false" customHeight="false" outlineLevel="0" collapsed="false">
      <c r="A187" s="10" t="s">
        <v>44</v>
      </c>
      <c r="B187" s="10" t="s">
        <v>32</v>
      </c>
      <c r="C187" s="16" t="s">
        <v>22</v>
      </c>
      <c r="D187" s="16" t="s">
        <v>20</v>
      </c>
      <c r="E187" s="25" t="n">
        <v>92.3</v>
      </c>
      <c r="F187" s="25" t="n">
        <v>88.4</v>
      </c>
      <c r="G187" s="13" t="n">
        <f aca="false">IF(AND(ISNUMBER(E187),ISNUMBER(F187)),IF(E187+F187&gt;0,2*E187*F187/(E187+F187),0),"-")</f>
        <v>90.3079136690648</v>
      </c>
      <c r="H187" s="14" t="n">
        <v>70.1</v>
      </c>
      <c r="I187" s="14" t="n">
        <v>53.3</v>
      </c>
      <c r="J187" s="14" t="n">
        <v>60.6</v>
      </c>
      <c r="K187" s="15" t="str">
        <f aca="false">IF(ISNUMBER(G187),IF(G187&gt;=J187,"✓","✗"),"-")</f>
        <v>✓</v>
      </c>
    </row>
    <row r="188" customFormat="false" ht="15" hidden="false" customHeight="false" outlineLevel="0" collapsed="false">
      <c r="A188" s="10" t="s">
        <v>44</v>
      </c>
      <c r="B188" s="10" t="s">
        <v>32</v>
      </c>
      <c r="C188" s="17" t="s">
        <v>23</v>
      </c>
      <c r="D188" s="17" t="s">
        <v>24</v>
      </c>
      <c r="E188" s="25" t="n">
        <v>86.1</v>
      </c>
      <c r="F188" s="25" t="n">
        <v>91.3</v>
      </c>
      <c r="G188" s="13" t="n">
        <f aca="false">IF(AND(ISNUMBER(E188),ISNUMBER(F188)),IF(E188+F188&gt;0,2*E188*F188/(E188+F188),0),"-")</f>
        <v>88.6237880496054</v>
      </c>
      <c r="H188" s="14" t="n">
        <v>70.1</v>
      </c>
      <c r="I188" s="14" t="n">
        <v>53.3</v>
      </c>
      <c r="J188" s="14" t="n">
        <v>60.6</v>
      </c>
      <c r="K188" s="15" t="str">
        <f aca="false">IF(ISNUMBER(G188),IF(G188&gt;=J188,"✓","✗"),"-")</f>
        <v>✓</v>
      </c>
    </row>
    <row r="189" customFormat="false" ht="15" hidden="false" customHeight="false" outlineLevel="0" collapsed="false">
      <c r="A189" s="10" t="s">
        <v>44</v>
      </c>
      <c r="B189" s="10" t="s">
        <v>32</v>
      </c>
      <c r="C189" s="11" t="s">
        <v>25</v>
      </c>
      <c r="D189" s="11" t="s">
        <v>24</v>
      </c>
      <c r="E189" s="25" t="n">
        <v>90</v>
      </c>
      <c r="F189" s="25" t="n">
        <v>89.4</v>
      </c>
      <c r="G189" s="13" t="n">
        <f aca="false">IF(AND(ISNUMBER(E189),ISNUMBER(F189)),IF(E189+F189&gt;0,2*E189*F189/(E189+F189),0),"-")</f>
        <v>89.6989966555184</v>
      </c>
      <c r="H189" s="14" t="n">
        <v>70.1</v>
      </c>
      <c r="I189" s="14" t="n">
        <v>53.3</v>
      </c>
      <c r="J189" s="14" t="n">
        <v>60.6</v>
      </c>
      <c r="K189" s="15" t="str">
        <f aca="false">IF(ISNUMBER(G189),IF(G189&gt;=J189,"✓","✗"),"-")</f>
        <v>✓</v>
      </c>
    </row>
    <row r="190" customFormat="false" ht="15" hidden="false" customHeight="false" outlineLevel="0" collapsed="false">
      <c r="A190" s="10" t="s">
        <v>44</v>
      </c>
      <c r="B190" s="10" t="s">
        <v>32</v>
      </c>
      <c r="C190" s="16" t="s">
        <v>26</v>
      </c>
      <c r="D190" s="16" t="s">
        <v>24</v>
      </c>
      <c r="E190" s="25" t="n">
        <v>92</v>
      </c>
      <c r="F190" s="25" t="n">
        <v>89.2</v>
      </c>
      <c r="G190" s="13" t="n">
        <f aca="false">IF(AND(ISNUMBER(E190),ISNUMBER(F190)),IF(E190+F190&gt;0,2*E190*F190/(E190+F190),0),"-")</f>
        <v>90.5783664459161</v>
      </c>
      <c r="H190" s="14" t="n">
        <v>70.1</v>
      </c>
      <c r="I190" s="14" t="n">
        <v>53.3</v>
      </c>
      <c r="J190" s="14" t="n">
        <v>60.6</v>
      </c>
      <c r="K190" s="15" t="str">
        <f aca="false">IF(ISNUMBER(G190),IF(G190&gt;=J190,"✓","✗"),"-")</f>
        <v>✓</v>
      </c>
    </row>
    <row r="191" customFormat="false" ht="15" hidden="false" customHeight="false" outlineLevel="0" collapsed="false">
      <c r="A191" s="10" t="s">
        <v>44</v>
      </c>
      <c r="B191" s="10" t="s">
        <v>32</v>
      </c>
      <c r="C191" s="17" t="s">
        <v>27</v>
      </c>
      <c r="D191" s="17" t="s">
        <v>28</v>
      </c>
      <c r="E191" s="25" t="n">
        <v>90.2</v>
      </c>
      <c r="F191" s="25" t="n">
        <v>90</v>
      </c>
      <c r="G191" s="13" t="n">
        <f aca="false">IF(AND(ISNUMBER(E191),ISNUMBER(F191)),IF(E191+F191&gt;0,2*E191*F191/(E191+F191),0),"-")</f>
        <v>90.0998890122087</v>
      </c>
      <c r="H191" s="14" t="n">
        <v>70.1</v>
      </c>
      <c r="I191" s="14" t="n">
        <v>53.3</v>
      </c>
      <c r="J191" s="14" t="n">
        <v>60.6</v>
      </c>
      <c r="K191" s="15" t="str">
        <f aca="false">IF(ISNUMBER(G191),IF(G191&gt;=J191,"✓","✗"),"-")</f>
        <v>✓</v>
      </c>
    </row>
    <row r="192" customFormat="false" ht="15" hidden="false" customHeight="false" outlineLevel="0" collapsed="false">
      <c r="A192" s="10" t="s">
        <v>44</v>
      </c>
      <c r="B192" s="10" t="s">
        <v>32</v>
      </c>
      <c r="C192" s="11" t="s">
        <v>29</v>
      </c>
      <c r="D192" s="11" t="s">
        <v>28</v>
      </c>
      <c r="E192" s="25" t="n">
        <v>88.8</v>
      </c>
      <c r="F192" s="25" t="n">
        <v>91.8</v>
      </c>
      <c r="G192" s="13" t="n">
        <f aca="false">IF(AND(ISNUMBER(E192),ISNUMBER(F192)),IF(E192+F192&gt;0,2*E192*F192/(E192+F192),0),"-")</f>
        <v>90.2750830564784</v>
      </c>
      <c r="H192" s="14" t="n">
        <v>70.1</v>
      </c>
      <c r="I192" s="14" t="n">
        <v>53.3</v>
      </c>
      <c r="J192" s="14" t="n">
        <v>60.6</v>
      </c>
      <c r="K192" s="15" t="str">
        <f aca="false">IF(ISNUMBER(G192),IF(G192&gt;=J192,"✓","✗"),"-")</f>
        <v>✓</v>
      </c>
    </row>
    <row r="193" customFormat="false" ht="15" hidden="false" customHeight="false" outlineLevel="0" collapsed="false">
      <c r="A193" s="10" t="s">
        <v>44</v>
      </c>
      <c r="B193" s="10" t="s">
        <v>32</v>
      </c>
      <c r="C193" s="16" t="s">
        <v>30</v>
      </c>
      <c r="D193" s="16" t="s">
        <v>28</v>
      </c>
      <c r="E193" s="25" t="n">
        <v>91.1</v>
      </c>
      <c r="F193" s="25" t="n">
        <v>88.9</v>
      </c>
      <c r="G193" s="13" t="n">
        <f aca="false">IF(AND(ISNUMBER(E193),ISNUMBER(F193)),IF(E193+F193&gt;0,2*E193*F193/(E193+F193),0),"-")</f>
        <v>89.9865555555556</v>
      </c>
      <c r="H193" s="14" t="n">
        <v>70.1</v>
      </c>
      <c r="I193" s="14" t="n">
        <v>53.3</v>
      </c>
      <c r="J193" s="14" t="n">
        <v>60.6</v>
      </c>
      <c r="K193" s="15" t="str">
        <f aca="false">IF(ISNUMBER(G193),IF(G193&gt;=J193,"✓","✗"),"-")</f>
        <v>✓</v>
      </c>
    </row>
    <row r="194" customFormat="false" ht="15" hidden="false" customHeight="false" outlineLevel="0" collapsed="false">
      <c r="A194" s="4" t="s">
        <v>44</v>
      </c>
      <c r="B194" s="4" t="s">
        <v>33</v>
      </c>
      <c r="C194" s="5" t="s">
        <v>19</v>
      </c>
      <c r="D194" s="5" t="s">
        <v>20</v>
      </c>
      <c r="E194" s="24" t="n">
        <v>96.8</v>
      </c>
      <c r="F194" s="24" t="n">
        <v>99.4</v>
      </c>
      <c r="G194" s="7" t="n">
        <f aca="false">IF(AND(ISNUMBER(E194),ISNUMBER(F194)),IF(E194+F194&gt;0,2*E194*F194/(E194+F194),0),"-")</f>
        <v>98.0827726809378</v>
      </c>
      <c r="H194" s="8" t="n">
        <v>40.2</v>
      </c>
      <c r="I194" s="8" t="n">
        <v>62.5</v>
      </c>
      <c r="J194" s="8" t="n">
        <v>48.9</v>
      </c>
      <c r="K194" s="9" t="str">
        <f aca="false">IF(ISNUMBER(G194),IF(G194&gt;=J194,"✓","✗"),"-")</f>
        <v>✓</v>
      </c>
    </row>
    <row r="195" customFormat="false" ht="15" hidden="false" customHeight="false" outlineLevel="0" collapsed="false">
      <c r="A195" s="10" t="s">
        <v>44</v>
      </c>
      <c r="B195" s="10" t="s">
        <v>33</v>
      </c>
      <c r="C195" s="11" t="s">
        <v>21</v>
      </c>
      <c r="D195" s="11" t="s">
        <v>20</v>
      </c>
      <c r="E195" s="25" t="n">
        <v>95.3</v>
      </c>
      <c r="F195" s="25" t="n">
        <v>99.2</v>
      </c>
      <c r="G195" s="13" t="n">
        <f aca="false">IF(AND(ISNUMBER(E195),ISNUMBER(F195)),IF(E195+F195&gt;0,2*E195*F195/(E195+F195),0),"-")</f>
        <v>97.2108997429306</v>
      </c>
      <c r="H195" s="14" t="n">
        <v>40.2</v>
      </c>
      <c r="I195" s="14" t="n">
        <v>62.5</v>
      </c>
      <c r="J195" s="14" t="n">
        <v>48.9</v>
      </c>
      <c r="K195" s="15" t="str">
        <f aca="false">IF(ISNUMBER(G195),IF(G195&gt;=J195,"✓","✗"),"-")</f>
        <v>✓</v>
      </c>
    </row>
    <row r="196" customFormat="false" ht="15" hidden="false" customHeight="false" outlineLevel="0" collapsed="false">
      <c r="A196" s="10" t="s">
        <v>44</v>
      </c>
      <c r="B196" s="10" t="s">
        <v>33</v>
      </c>
      <c r="C196" s="16" t="s">
        <v>22</v>
      </c>
      <c r="D196" s="16" t="s">
        <v>20</v>
      </c>
      <c r="E196" s="25" t="n">
        <v>95.6</v>
      </c>
      <c r="F196" s="25" t="n">
        <v>99.2</v>
      </c>
      <c r="G196" s="13" t="n">
        <f aca="false">IF(AND(ISNUMBER(E196),ISNUMBER(F196)),IF(E196+F196&gt;0,2*E196*F196/(E196+F196),0),"-")</f>
        <v>97.3667351129363</v>
      </c>
      <c r="H196" s="14" t="n">
        <v>40.2</v>
      </c>
      <c r="I196" s="14" t="n">
        <v>62.5</v>
      </c>
      <c r="J196" s="14" t="n">
        <v>48.9</v>
      </c>
      <c r="K196" s="15" t="str">
        <f aca="false">IF(ISNUMBER(G196),IF(G196&gt;=J196,"✓","✗"),"-")</f>
        <v>✓</v>
      </c>
    </row>
    <row r="197" customFormat="false" ht="15" hidden="false" customHeight="false" outlineLevel="0" collapsed="false">
      <c r="A197" s="10" t="s">
        <v>44</v>
      </c>
      <c r="B197" s="10" t="s">
        <v>33</v>
      </c>
      <c r="C197" s="17" t="s">
        <v>23</v>
      </c>
      <c r="D197" s="17" t="s">
        <v>24</v>
      </c>
      <c r="E197" s="25" t="n">
        <v>97.9</v>
      </c>
      <c r="F197" s="25" t="n">
        <v>99</v>
      </c>
      <c r="G197" s="13" t="n">
        <f aca="false">IF(AND(ISNUMBER(E197),ISNUMBER(F197)),IF(E197+F197&gt;0,2*E197*F197/(E197+F197),0),"-")</f>
        <v>98.4469273743017</v>
      </c>
      <c r="H197" s="14" t="n">
        <v>40.2</v>
      </c>
      <c r="I197" s="14" t="n">
        <v>62.5</v>
      </c>
      <c r="J197" s="14" t="n">
        <v>48.9</v>
      </c>
      <c r="K197" s="15" t="str">
        <f aca="false">IF(ISNUMBER(G197),IF(G197&gt;=J197,"✓","✗"),"-")</f>
        <v>✓</v>
      </c>
    </row>
    <row r="198" customFormat="false" ht="15" hidden="false" customHeight="false" outlineLevel="0" collapsed="false">
      <c r="A198" s="10" t="s">
        <v>44</v>
      </c>
      <c r="B198" s="10" t="s">
        <v>33</v>
      </c>
      <c r="C198" s="11" t="s">
        <v>25</v>
      </c>
      <c r="D198" s="11" t="s">
        <v>24</v>
      </c>
      <c r="E198" s="25" t="n">
        <v>95</v>
      </c>
      <c r="F198" s="25" t="n">
        <v>99.5</v>
      </c>
      <c r="G198" s="13" t="n">
        <f aca="false">IF(AND(ISNUMBER(E198),ISNUMBER(F198)),IF(E198+F198&gt;0,2*E198*F198/(E198+F198),0),"-")</f>
        <v>97.1979434447301</v>
      </c>
      <c r="H198" s="14" t="n">
        <v>40.2</v>
      </c>
      <c r="I198" s="14" t="n">
        <v>62.5</v>
      </c>
      <c r="J198" s="14" t="n">
        <v>48.9</v>
      </c>
      <c r="K198" s="15" t="str">
        <f aca="false">IF(ISNUMBER(G198),IF(G198&gt;=J198,"✓","✗"),"-")</f>
        <v>✓</v>
      </c>
    </row>
    <row r="199" customFormat="false" ht="15" hidden="false" customHeight="false" outlineLevel="0" collapsed="false">
      <c r="A199" s="10" t="s">
        <v>44</v>
      </c>
      <c r="B199" s="10" t="s">
        <v>33</v>
      </c>
      <c r="C199" s="16" t="s">
        <v>26</v>
      </c>
      <c r="D199" s="16" t="s">
        <v>24</v>
      </c>
      <c r="E199" s="25" t="n">
        <v>96.8</v>
      </c>
      <c r="F199" s="25" t="n">
        <v>99.4</v>
      </c>
      <c r="G199" s="13" t="n">
        <f aca="false">IF(AND(ISNUMBER(E199),ISNUMBER(F199)),IF(E199+F199&gt;0,2*E199*F199/(E199+F199),0),"-")</f>
        <v>98.0827726809378</v>
      </c>
      <c r="H199" s="14" t="n">
        <v>40.2</v>
      </c>
      <c r="I199" s="14" t="n">
        <v>62.5</v>
      </c>
      <c r="J199" s="14" t="n">
        <v>48.9</v>
      </c>
      <c r="K199" s="15" t="str">
        <f aca="false">IF(ISNUMBER(G199),IF(G199&gt;=J199,"✓","✗"),"-")</f>
        <v>✓</v>
      </c>
    </row>
    <row r="200" customFormat="false" ht="15" hidden="false" customHeight="false" outlineLevel="0" collapsed="false">
      <c r="A200" s="10" t="s">
        <v>44</v>
      </c>
      <c r="B200" s="10" t="s">
        <v>33</v>
      </c>
      <c r="C200" s="17" t="s">
        <v>27</v>
      </c>
      <c r="D200" s="17" t="s">
        <v>28</v>
      </c>
      <c r="E200" s="25" t="n">
        <v>97.3</v>
      </c>
      <c r="F200" s="25" t="n">
        <v>97.7</v>
      </c>
      <c r="G200" s="13" t="n">
        <f aca="false">IF(AND(ISNUMBER(E200),ISNUMBER(F200)),IF(E200+F200&gt;0,2*E200*F200/(E200+F200),0),"-")</f>
        <v>97.4995897435897</v>
      </c>
      <c r="H200" s="14" t="n">
        <v>40.2</v>
      </c>
      <c r="I200" s="14" t="n">
        <v>62.5</v>
      </c>
      <c r="J200" s="14" t="n">
        <v>48.9</v>
      </c>
      <c r="K200" s="15" t="str">
        <f aca="false">IF(ISNUMBER(G200),IF(G200&gt;=J200,"✓","✗"),"-")</f>
        <v>✓</v>
      </c>
    </row>
    <row r="201" customFormat="false" ht="15" hidden="false" customHeight="false" outlineLevel="0" collapsed="false">
      <c r="A201" s="10" t="s">
        <v>44</v>
      </c>
      <c r="B201" s="10" t="s">
        <v>33</v>
      </c>
      <c r="C201" s="11" t="s">
        <v>29</v>
      </c>
      <c r="D201" s="11" t="s">
        <v>28</v>
      </c>
      <c r="E201" s="25" t="n">
        <v>92.7</v>
      </c>
      <c r="F201" s="25" t="n">
        <v>99.4</v>
      </c>
      <c r="G201" s="13" t="n">
        <f aca="false">IF(AND(ISNUMBER(E201),ISNUMBER(F201)),IF(E201+F201&gt;0,2*E201*F201/(E201+F201),0),"-")</f>
        <v>95.9331598125976</v>
      </c>
      <c r="H201" s="14" t="n">
        <v>40.2</v>
      </c>
      <c r="I201" s="14" t="n">
        <v>62.5</v>
      </c>
      <c r="J201" s="14" t="n">
        <v>48.9</v>
      </c>
      <c r="K201" s="15" t="str">
        <f aca="false">IF(ISNUMBER(G201),IF(G201&gt;=J201,"✓","✗"),"-")</f>
        <v>✓</v>
      </c>
    </row>
    <row r="202" customFormat="false" ht="15" hidden="false" customHeight="false" outlineLevel="0" collapsed="false">
      <c r="A202" s="10" t="s">
        <v>44</v>
      </c>
      <c r="B202" s="10" t="s">
        <v>33</v>
      </c>
      <c r="C202" s="16" t="s">
        <v>30</v>
      </c>
      <c r="D202" s="16" t="s">
        <v>28</v>
      </c>
      <c r="E202" s="25" t="n">
        <v>94.7</v>
      </c>
      <c r="F202" s="25" t="n">
        <v>98.8</v>
      </c>
      <c r="G202" s="13" t="n">
        <f aca="false">IF(AND(ISNUMBER(E202),ISNUMBER(F202)),IF(E202+F202&gt;0,2*E202*F202/(E202+F202),0),"-")</f>
        <v>96.7065633074935</v>
      </c>
      <c r="H202" s="14" t="n">
        <v>40.2</v>
      </c>
      <c r="I202" s="14" t="n">
        <v>62.5</v>
      </c>
      <c r="J202" s="14" t="n">
        <v>48.9</v>
      </c>
      <c r="K202" s="15" t="str">
        <f aca="false">IF(ISNUMBER(G202),IF(G202&gt;=J202,"✓","✗"),"-")</f>
        <v>✓</v>
      </c>
    </row>
    <row r="204" customFormat="false" ht="15" hidden="false" customHeight="false" outlineLevel="0" collapsed="false">
      <c r="A204" s="26" t="s">
        <v>59</v>
      </c>
    </row>
    <row r="205" customFormat="false" ht="15" hidden="false" customHeight="false" outlineLevel="0" collapsed="false">
      <c r="C205" s="17" t="s">
        <v>19</v>
      </c>
      <c r="D205" s="27" t="s">
        <v>60</v>
      </c>
    </row>
    <row r="206" customFormat="false" ht="15" hidden="false" customHeight="false" outlineLevel="0" collapsed="false">
      <c r="C206" s="11" t="s">
        <v>21</v>
      </c>
      <c r="D206" s="27" t="s">
        <v>61</v>
      </c>
    </row>
    <row r="207" customFormat="false" ht="15" hidden="false" customHeight="false" outlineLevel="0" collapsed="false">
      <c r="C207" s="16" t="s">
        <v>22</v>
      </c>
      <c r="D207" s="27" t="s">
        <v>60</v>
      </c>
    </row>
    <row r="208" customFormat="false" ht="15" hidden="false" customHeight="false" outlineLevel="0" collapsed="false">
      <c r="C208" s="17" t="s">
        <v>23</v>
      </c>
      <c r="D208" s="27" t="s">
        <v>62</v>
      </c>
    </row>
    <row r="209" customFormat="false" ht="15" hidden="false" customHeight="false" outlineLevel="0" collapsed="false">
      <c r="C209" s="11" t="s">
        <v>25</v>
      </c>
      <c r="D209" s="27" t="s">
        <v>63</v>
      </c>
    </row>
    <row r="210" customFormat="false" ht="15" hidden="false" customHeight="false" outlineLevel="0" collapsed="false">
      <c r="C210" s="16" t="s">
        <v>26</v>
      </c>
      <c r="D210" s="27" t="s">
        <v>60</v>
      </c>
    </row>
    <row r="211" customFormat="false" ht="15" hidden="false" customHeight="false" outlineLevel="0" collapsed="false">
      <c r="C211" s="17" t="s">
        <v>27</v>
      </c>
      <c r="D211" s="27" t="s">
        <v>60</v>
      </c>
    </row>
    <row r="212" customFormat="false" ht="15" hidden="false" customHeight="false" outlineLevel="0" collapsed="false">
      <c r="C212" s="11" t="s">
        <v>29</v>
      </c>
      <c r="D212" s="27" t="s">
        <v>63</v>
      </c>
    </row>
    <row r="213" customFormat="false" ht="15" hidden="false" customHeight="false" outlineLevel="0" collapsed="false">
      <c r="C213" s="16" t="s">
        <v>30</v>
      </c>
      <c r="D213" s="27" t="s">
        <v>60</v>
      </c>
    </row>
    <row r="215" customFormat="false" ht="15" hidden="false" customHeight="false" outlineLevel="0" collapsed="false">
      <c r="A215" s="1" t="s">
        <v>64</v>
      </c>
    </row>
    <row r="216" customFormat="false" ht="43.5" hidden="false" customHeight="true" outlineLevel="0" collapsed="false">
      <c r="A216" s="2" t="s">
        <v>65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8" customFormat="false" ht="15" hidden="false" customHeight="false" outlineLevel="0" collapsed="false">
      <c r="A218" s="3" t="s">
        <v>2</v>
      </c>
      <c r="B218" s="3" t="s">
        <v>4</v>
      </c>
      <c r="C218" s="3" t="s">
        <v>5</v>
      </c>
      <c r="D218" s="3" t="s">
        <v>66</v>
      </c>
      <c r="E218" s="3" t="s">
        <v>67</v>
      </c>
      <c r="F218" s="3" t="s">
        <v>68</v>
      </c>
      <c r="G218" s="3" t="s">
        <v>69</v>
      </c>
      <c r="H218" s="3" t="s">
        <v>70</v>
      </c>
      <c r="I218" s="3" t="s">
        <v>71</v>
      </c>
      <c r="J218" s="3" t="s">
        <v>49</v>
      </c>
      <c r="K218" s="3" t="s">
        <v>18</v>
      </c>
      <c r="L218" s="3" t="s">
        <v>31</v>
      </c>
      <c r="M218" s="3" t="s">
        <v>32</v>
      </c>
      <c r="N218" s="3" t="s">
        <v>33</v>
      </c>
      <c r="O218" s="3"/>
      <c r="P218" s="3"/>
    </row>
    <row r="219" customFormat="false" ht="15" hidden="false" customHeight="false" outlineLevel="0" collapsed="false">
      <c r="A219" s="10" t="s">
        <v>72</v>
      </c>
      <c r="B219" s="17" t="s">
        <v>19</v>
      </c>
      <c r="C219" s="17" t="s">
        <v>20</v>
      </c>
      <c r="D219" s="28" t="n">
        <v>83.05</v>
      </c>
      <c r="E219" s="28" t="n">
        <v>82.63</v>
      </c>
      <c r="F219" s="28" t="n">
        <v>82.42</v>
      </c>
      <c r="G219" s="28" t="n">
        <v>82.69</v>
      </c>
      <c r="H219" s="28" t="n">
        <v>82.74</v>
      </c>
      <c r="I219" s="28" t="n">
        <v>82.32</v>
      </c>
      <c r="J219" s="25" t="n">
        <v>74.7</v>
      </c>
      <c r="K219" s="25" t="n">
        <v>92</v>
      </c>
      <c r="L219" s="25" t="n">
        <v>79.8</v>
      </c>
      <c r="M219" s="25" t="n">
        <v>78.4</v>
      </c>
      <c r="N219" s="25" t="n">
        <v>90.3</v>
      </c>
    </row>
    <row r="220" customFormat="false" ht="15" hidden="false" customHeight="false" outlineLevel="0" collapsed="false">
      <c r="A220" s="10" t="s">
        <v>72</v>
      </c>
      <c r="B220" s="11" t="s">
        <v>21</v>
      </c>
      <c r="C220" s="11" t="s">
        <v>20</v>
      </c>
      <c r="D220" s="28" t="n">
        <v>83.09</v>
      </c>
      <c r="E220" s="28" t="n">
        <v>82.6</v>
      </c>
      <c r="F220" s="28" t="n">
        <v>82.55</v>
      </c>
      <c r="G220" s="28" t="n">
        <v>82.67</v>
      </c>
      <c r="H220" s="28" t="n">
        <v>83.06</v>
      </c>
      <c r="I220" s="28" t="n">
        <v>82.74</v>
      </c>
      <c r="J220" s="25" t="n">
        <v>74.5</v>
      </c>
      <c r="K220" s="25" t="n">
        <v>92.5</v>
      </c>
      <c r="L220" s="25" t="n">
        <v>78.6</v>
      </c>
      <c r="M220" s="25" t="n">
        <v>79.4</v>
      </c>
      <c r="N220" s="25" t="n">
        <v>90.5</v>
      </c>
    </row>
    <row r="221" customFormat="false" ht="15" hidden="false" customHeight="false" outlineLevel="0" collapsed="false">
      <c r="A221" s="10" t="s">
        <v>72</v>
      </c>
      <c r="B221" s="16" t="s">
        <v>22</v>
      </c>
      <c r="C221" s="16" t="s">
        <v>20</v>
      </c>
      <c r="D221" s="28" t="n">
        <v>83.09</v>
      </c>
      <c r="E221" s="28" t="n">
        <v>82.6</v>
      </c>
      <c r="F221" s="28" t="n">
        <v>82.55</v>
      </c>
      <c r="G221" s="28" t="n">
        <v>82.67</v>
      </c>
      <c r="H221" s="28" t="n">
        <v>83.06</v>
      </c>
      <c r="I221" s="28" t="n">
        <v>82.74</v>
      </c>
      <c r="J221" s="25" t="n">
        <v>74.5</v>
      </c>
      <c r="K221" s="25" t="n">
        <v>92.5</v>
      </c>
      <c r="L221" s="25" t="n">
        <v>78.6</v>
      </c>
      <c r="M221" s="25" t="n">
        <v>79.4</v>
      </c>
      <c r="N221" s="25" t="n">
        <v>90.5</v>
      </c>
    </row>
    <row r="222" customFormat="false" ht="15" hidden="false" customHeight="false" outlineLevel="0" collapsed="false">
      <c r="A222" s="10" t="s">
        <v>72</v>
      </c>
      <c r="B222" s="17" t="s">
        <v>23</v>
      </c>
      <c r="C222" s="17" t="s">
        <v>24</v>
      </c>
      <c r="D222" s="28" t="n">
        <v>84.29</v>
      </c>
      <c r="E222" s="28" t="n">
        <v>83.46</v>
      </c>
      <c r="F222" s="28" t="n">
        <v>82.94</v>
      </c>
      <c r="G222" s="28" t="n">
        <v>82.81</v>
      </c>
      <c r="H222" s="28" t="n">
        <v>83.28</v>
      </c>
      <c r="I222" s="28" t="n">
        <v>82.55</v>
      </c>
      <c r="J222" s="25" t="n">
        <v>75.1</v>
      </c>
      <c r="K222" s="25" t="n">
        <v>92.8</v>
      </c>
      <c r="L222" s="25" t="n">
        <v>82.7</v>
      </c>
      <c r="M222" s="25" t="n">
        <v>80.6</v>
      </c>
      <c r="N222" s="25" t="n">
        <v>90.3</v>
      </c>
    </row>
    <row r="223" customFormat="false" ht="15" hidden="false" customHeight="false" outlineLevel="0" collapsed="false">
      <c r="A223" s="10" t="s">
        <v>72</v>
      </c>
      <c r="B223" s="11" t="s">
        <v>25</v>
      </c>
      <c r="C223" s="11" t="s">
        <v>24</v>
      </c>
      <c r="D223" s="28" t="n">
        <v>84.86</v>
      </c>
      <c r="E223" s="28" t="n">
        <v>84.08</v>
      </c>
      <c r="F223" s="28" t="n">
        <v>83.5</v>
      </c>
      <c r="G223" s="28" t="n">
        <v>83.39</v>
      </c>
      <c r="H223" s="28" t="n">
        <v>83.7</v>
      </c>
      <c r="I223" s="28" t="n">
        <v>83</v>
      </c>
      <c r="J223" s="25" t="n">
        <v>77.4</v>
      </c>
      <c r="K223" s="25" t="n">
        <v>93.1</v>
      </c>
      <c r="L223" s="25" t="n">
        <v>82.7</v>
      </c>
      <c r="M223" s="25" t="n">
        <v>80</v>
      </c>
      <c r="N223" s="25" t="n">
        <v>91.1</v>
      </c>
    </row>
    <row r="224" customFormat="false" ht="15" hidden="false" customHeight="false" outlineLevel="0" collapsed="false">
      <c r="A224" s="10" t="s">
        <v>72</v>
      </c>
      <c r="B224" s="16" t="s">
        <v>26</v>
      </c>
      <c r="C224" s="16" t="s">
        <v>24</v>
      </c>
      <c r="D224" s="28" t="n">
        <v>84.29</v>
      </c>
      <c r="E224" s="28" t="n">
        <v>83.46</v>
      </c>
      <c r="F224" s="28" t="n">
        <v>82.94</v>
      </c>
      <c r="G224" s="28" t="n">
        <v>82.81</v>
      </c>
      <c r="H224" s="28" t="n">
        <v>83.28</v>
      </c>
      <c r="I224" s="28" t="n">
        <v>82.55</v>
      </c>
      <c r="J224" s="25" t="n">
        <v>75.1</v>
      </c>
      <c r="K224" s="25" t="n">
        <v>92.8</v>
      </c>
      <c r="L224" s="25" t="n">
        <v>82.7</v>
      </c>
      <c r="M224" s="25" t="n">
        <v>80.6</v>
      </c>
      <c r="N224" s="25" t="n">
        <v>90.3</v>
      </c>
    </row>
    <row r="225" customFormat="false" ht="15" hidden="false" customHeight="false" outlineLevel="0" collapsed="false">
      <c r="A225" s="10" t="s">
        <v>72</v>
      </c>
      <c r="B225" s="17" t="s">
        <v>27</v>
      </c>
      <c r="C225" s="17" t="s">
        <v>28</v>
      </c>
      <c r="D225" s="28" t="n">
        <v>83.27</v>
      </c>
      <c r="E225" s="28" t="n">
        <v>82.58</v>
      </c>
      <c r="F225" s="28" t="n">
        <v>81.83</v>
      </c>
      <c r="G225" s="28" t="n">
        <v>81.46</v>
      </c>
      <c r="H225" s="28" t="n">
        <v>81.99</v>
      </c>
      <c r="I225" s="28" t="n">
        <v>80.96</v>
      </c>
      <c r="J225" s="25" t="n">
        <v>72.9</v>
      </c>
      <c r="K225" s="25" t="n">
        <v>91.3</v>
      </c>
      <c r="L225" s="25" t="n">
        <v>82.2</v>
      </c>
      <c r="M225" s="25" t="n">
        <v>80.5</v>
      </c>
      <c r="N225" s="25" t="n">
        <v>89.5</v>
      </c>
    </row>
    <row r="226" customFormat="false" ht="15" hidden="false" customHeight="false" outlineLevel="0" collapsed="false">
      <c r="A226" s="10" t="s">
        <v>72</v>
      </c>
      <c r="B226" s="11" t="s">
        <v>29</v>
      </c>
      <c r="C226" s="11" t="s">
        <v>28</v>
      </c>
      <c r="D226" s="28" t="n">
        <v>84.11</v>
      </c>
      <c r="E226" s="28" t="n">
        <v>83.53</v>
      </c>
      <c r="F226" s="28" t="n">
        <v>82.84</v>
      </c>
      <c r="G226" s="28" t="n">
        <v>82.5</v>
      </c>
      <c r="H226" s="28" t="n">
        <v>82.7</v>
      </c>
      <c r="I226" s="28" t="n">
        <v>81.72</v>
      </c>
      <c r="J226" s="25" t="n">
        <v>76.1</v>
      </c>
      <c r="K226" s="25" t="n">
        <v>91.6</v>
      </c>
      <c r="L226" s="25" t="n">
        <v>81.4</v>
      </c>
      <c r="M226" s="25" t="n">
        <v>82</v>
      </c>
      <c r="N226" s="25" t="n">
        <v>89.4</v>
      </c>
    </row>
    <row r="227" customFormat="false" ht="15" hidden="false" customHeight="false" outlineLevel="0" collapsed="false">
      <c r="A227" s="10" t="s">
        <v>72</v>
      </c>
      <c r="B227" s="16" t="s">
        <v>30</v>
      </c>
      <c r="C227" s="16" t="s">
        <v>28</v>
      </c>
      <c r="D227" s="28" t="n">
        <v>83.27</v>
      </c>
      <c r="E227" s="28" t="n">
        <v>82.58</v>
      </c>
      <c r="F227" s="28" t="n">
        <v>81.83</v>
      </c>
      <c r="G227" s="28" t="n">
        <v>81.46</v>
      </c>
      <c r="H227" s="28" t="n">
        <v>81.99</v>
      </c>
      <c r="I227" s="28" t="n">
        <v>80.96</v>
      </c>
      <c r="J227" s="25" t="n">
        <v>72.9</v>
      </c>
      <c r="K227" s="25" t="n">
        <v>91.3</v>
      </c>
      <c r="L227" s="25" t="n">
        <v>82.2</v>
      </c>
      <c r="M227" s="25" t="n">
        <v>80.5</v>
      </c>
      <c r="N227" s="25" t="n">
        <v>89.5</v>
      </c>
    </row>
  </sheetData>
  <mergeCells count="3">
    <mergeCell ref="A2:P2"/>
    <mergeCell ref="A70:P70"/>
    <mergeCell ref="A216:P216"/>
  </mergeCells>
  <conditionalFormatting sqref="G5:G13">
    <cfRule type="expression" priority="2" aboveAverage="0" equalAverage="0" bottom="0" percent="0" rank="0" text="" dxfId="0">
      <formula>AND(ISNUMBER(G5),G5=MAX($G$5:$G$13))</formula>
    </cfRule>
  </conditionalFormatting>
  <conditionalFormatting sqref="J5:J13">
    <cfRule type="expression" priority="3" aboveAverage="0" equalAverage="0" bottom="0" percent="0" rank="0" text="" dxfId="0">
      <formula>AND(ISNUMBER(J5),J5=MAX($J$5:$J$13))</formula>
    </cfRule>
  </conditionalFormatting>
  <conditionalFormatting sqref="G14:G22">
    <cfRule type="expression" priority="4" aboveAverage="0" equalAverage="0" bottom="0" percent="0" rank="0" text="" dxfId="0">
      <formula>AND(ISNUMBER(G14),G14=MAX($G$14:$G$22))</formula>
    </cfRule>
  </conditionalFormatting>
  <conditionalFormatting sqref="J14:J22">
    <cfRule type="expression" priority="5" aboveAverage="0" equalAverage="0" bottom="0" percent="0" rank="0" text="" dxfId="0">
      <formula>AND(ISNUMBER(J14),J14=MAX($J$14:$J$22))</formula>
    </cfRule>
  </conditionalFormatting>
  <conditionalFormatting sqref="G23:G31">
    <cfRule type="expression" priority="6" aboveAverage="0" equalAverage="0" bottom="0" percent="0" rank="0" text="" dxfId="0">
      <formula>AND(ISNUMBER(G23),G23=MAX($G$23:$G$31))</formula>
    </cfRule>
  </conditionalFormatting>
  <conditionalFormatting sqref="J23:J31">
    <cfRule type="expression" priority="7" aboveAverage="0" equalAverage="0" bottom="0" percent="0" rank="0" text="" dxfId="0">
      <formula>AND(ISNUMBER(J23),J23=MAX($J$23:$J$31))</formula>
    </cfRule>
  </conditionalFormatting>
  <conditionalFormatting sqref="G32:G40">
    <cfRule type="expression" priority="8" aboveAverage="0" equalAverage="0" bottom="0" percent="0" rank="0" text="" dxfId="0">
      <formula>AND(ISNUMBER(G32),G32=MAX($G$32:$G$40))</formula>
    </cfRule>
  </conditionalFormatting>
  <conditionalFormatting sqref="J32:J40">
    <cfRule type="expression" priority="9" aboveAverage="0" equalAverage="0" bottom="0" percent="0" rank="0" text="" dxfId="0">
      <formula>AND(ISNUMBER(J32),J32=MAX($J$32:$J$40))</formula>
    </cfRule>
  </conditionalFormatting>
  <conditionalFormatting sqref="G41:G49">
    <cfRule type="expression" priority="10" aboveAverage="0" equalAverage="0" bottom="0" percent="0" rank="0" text="" dxfId="0">
      <formula>AND(ISNUMBER(G41),G41=MAX($G$41:$G$49))</formula>
    </cfRule>
  </conditionalFormatting>
  <conditionalFormatting sqref="J41:J49">
    <cfRule type="expression" priority="11" aboveAverage="0" equalAverage="0" bottom="0" percent="0" rank="0" text="" dxfId="0">
      <formula>AND(ISNUMBER(J41),J41=MAX($J$41:$J$49))</formula>
    </cfRule>
  </conditionalFormatting>
  <conditionalFormatting sqref="G50:G58">
    <cfRule type="expression" priority="12" aboveAverage="0" equalAverage="0" bottom="0" percent="0" rank="0" text="" dxfId="0">
      <formula>AND(ISNUMBER(G50),G50=MAX($G$50:$G$58))</formula>
    </cfRule>
  </conditionalFormatting>
  <conditionalFormatting sqref="J50:J58">
    <cfRule type="expression" priority="13" aboveAverage="0" equalAverage="0" bottom="0" percent="0" rank="0" text="" dxfId="0">
      <formula>AND(ISNUMBER(J50),J50=MAX($J$50:$J$58))</formula>
    </cfRule>
  </conditionalFormatting>
  <conditionalFormatting sqref="G59:G67">
    <cfRule type="expression" priority="14" aboveAverage="0" equalAverage="0" bottom="0" percent="0" rank="0" text="" dxfId="0">
      <formula>AND(ISNUMBER(G59),G59=MAX($G$59:$G$67))</formula>
    </cfRule>
  </conditionalFormatting>
  <conditionalFormatting sqref="J59:J67">
    <cfRule type="expression" priority="15" aboveAverage="0" equalAverage="0" bottom="0" percent="0" rank="0" text="" dxfId="0">
      <formula>AND(ISNUMBER(J59),J59=MAX($J$59:$J$67))</formula>
    </cfRule>
  </conditionalFormatting>
  <conditionalFormatting sqref="M5:N67">
    <cfRule type="expression" priority="16" aboveAverage="0" equalAverage="0" bottom="0" percent="0" rank="0" text="" dxfId="1">
      <formula>M5="✗"</formula>
    </cfRule>
    <cfRule type="expression" priority="17" aboveAverage="0" equalAverage="0" bottom="0" percent="0" rank="0" text="" dxfId="2">
      <formula>M5="✓"</formula>
    </cfRule>
  </conditionalFormatting>
  <conditionalFormatting sqref="E73:E81">
    <cfRule type="expression" priority="18" aboveAverage="0" equalAverage="0" bottom="0" percent="0" rank="0" text="" dxfId="0">
      <formula>AND(ISNUMBER(E73),E73=MAX($E$73:$E$81))</formula>
    </cfRule>
  </conditionalFormatting>
  <conditionalFormatting sqref="F73:F81">
    <cfRule type="expression" priority="19" aboveAverage="0" equalAverage="0" bottom="0" percent="0" rank="0" text="" dxfId="0">
      <formula>AND(ISNUMBER(F73),F73=MAX($F$73:$F$81))</formula>
    </cfRule>
  </conditionalFormatting>
  <conditionalFormatting sqref="G73:G81">
    <cfRule type="expression" priority="20" aboveAverage="0" equalAverage="0" bottom="0" percent="0" rank="0" text="" dxfId="0">
      <formula>AND(ISNUMBER(G73),G73=MAX($G$73:$G$81))</formula>
    </cfRule>
  </conditionalFormatting>
  <conditionalFormatting sqref="H73:H81">
    <cfRule type="expression" priority="21" aboveAverage="0" equalAverage="0" bottom="0" percent="0" rank="0" text="" dxfId="0">
      <formula>AND(ISNUMBER(H73),H73=MAX($H$73:$H$81))</formula>
    </cfRule>
  </conditionalFormatting>
  <conditionalFormatting sqref="E82:E90">
    <cfRule type="expression" priority="22" aboveAverage="0" equalAverage="0" bottom="0" percent="0" rank="0" text="" dxfId="0">
      <formula>AND(ISNUMBER(E82),E82=MAX($E$82:$E$90))</formula>
    </cfRule>
  </conditionalFormatting>
  <conditionalFormatting sqref="F82:F90">
    <cfRule type="expression" priority="23" aboveAverage="0" equalAverage="0" bottom="0" percent="0" rank="0" text="" dxfId="0">
      <formula>AND(ISNUMBER(F82),F82=MAX($F$82:$F$90))</formula>
    </cfRule>
  </conditionalFormatting>
  <conditionalFormatting sqref="G82:G90">
    <cfRule type="expression" priority="24" aboveAverage="0" equalAverage="0" bottom="0" percent="0" rank="0" text="" dxfId="0">
      <formula>AND(ISNUMBER(G82),G82=MAX($G$82:$G$90))</formula>
    </cfRule>
  </conditionalFormatting>
  <conditionalFormatting sqref="H82:H90">
    <cfRule type="expression" priority="25" aboveAverage="0" equalAverage="0" bottom="0" percent="0" rank="0" text="" dxfId="0">
      <formula>AND(ISNUMBER(H82),H82=MAX($H$82:$H$90))</formula>
    </cfRule>
  </conditionalFormatting>
  <conditionalFormatting sqref="E91:E99">
    <cfRule type="expression" priority="26" aboveAverage="0" equalAverage="0" bottom="0" percent="0" rank="0" text="" dxfId="0">
      <formula>AND(ISNUMBER(E91),E91=MAX($E$91:$E$99))</formula>
    </cfRule>
  </conditionalFormatting>
  <conditionalFormatting sqref="F91:F99">
    <cfRule type="expression" priority="27" aboveAverage="0" equalAverage="0" bottom="0" percent="0" rank="0" text="" dxfId="0">
      <formula>AND(ISNUMBER(F91),F91=MAX($F$91:$F$99))</formula>
    </cfRule>
  </conditionalFormatting>
  <conditionalFormatting sqref="G91:G99">
    <cfRule type="expression" priority="28" aboveAverage="0" equalAverage="0" bottom="0" percent="0" rank="0" text="" dxfId="0">
      <formula>AND(ISNUMBER(G91),G91=MAX($G$91:$G$99))</formula>
    </cfRule>
  </conditionalFormatting>
  <conditionalFormatting sqref="H91:H99">
    <cfRule type="expression" priority="29" aboveAverage="0" equalAverage="0" bottom="0" percent="0" rank="0" text="" dxfId="0">
      <formula>AND(ISNUMBER(H91),H91=MAX($H$91:$H$99))</formula>
    </cfRule>
  </conditionalFormatting>
  <conditionalFormatting sqref="E100:E108">
    <cfRule type="expression" priority="30" aboveAverage="0" equalAverage="0" bottom="0" percent="0" rank="0" text="" dxfId="0">
      <formula>AND(ISNUMBER(E100),E100=MAX($E$100:$E$108))</formula>
    </cfRule>
  </conditionalFormatting>
  <conditionalFormatting sqref="F100:F108">
    <cfRule type="expression" priority="31" aboveAverage="0" equalAverage="0" bottom="0" percent="0" rank="0" text="" dxfId="0">
      <formula>AND(ISNUMBER(F100),F100=MAX($F$100:$F$108))</formula>
    </cfRule>
  </conditionalFormatting>
  <conditionalFormatting sqref="G100:G108">
    <cfRule type="expression" priority="32" aboveAverage="0" equalAverage="0" bottom="0" percent="0" rank="0" text="" dxfId="0">
      <formula>AND(ISNUMBER(G100),G100=MAX($G$100:$G$108))</formula>
    </cfRule>
  </conditionalFormatting>
  <conditionalFormatting sqref="H100:H108">
    <cfRule type="expression" priority="33" aboveAverage="0" equalAverage="0" bottom="0" percent="0" rank="0" text="" dxfId="0">
      <formula>AND(ISNUMBER(H100),H100=MAX($H$100:$H$108))</formula>
    </cfRule>
  </conditionalFormatting>
  <conditionalFormatting sqref="E73:E108">
    <cfRule type="expression" priority="34" aboveAverage="0" equalAverage="0" bottom="0" percent="0" rank="0" text="" dxfId="1">
      <formula>E73&lt;I73</formula>
    </cfRule>
  </conditionalFormatting>
  <conditionalFormatting sqref="F73:F108">
    <cfRule type="expression" priority="35" aboveAverage="0" equalAverage="0" bottom="0" percent="0" rank="0" text="" dxfId="1">
      <formula>F73&lt;J73</formula>
    </cfRule>
  </conditionalFormatting>
  <conditionalFormatting sqref="G73:G108">
    <cfRule type="expression" priority="36" aboveAverage="0" equalAverage="0" bottom="0" percent="0" rank="0" text="" dxfId="1">
      <formula>G73&lt;K73</formula>
    </cfRule>
  </conditionalFormatting>
  <conditionalFormatting sqref="H73:H108">
    <cfRule type="expression" priority="37" aboveAverage="0" equalAverage="0" bottom="0" percent="0" rank="0" text="" dxfId="1">
      <formula>H73&lt;L73</formula>
    </cfRule>
  </conditionalFormatting>
  <conditionalFormatting sqref="M73:M108">
    <cfRule type="expression" priority="38" aboveAverage="0" equalAverage="0" bottom="0" percent="0" rank="0" text="" dxfId="1">
      <formula>M73="✗"</formula>
    </cfRule>
    <cfRule type="expression" priority="39" aboveAverage="0" equalAverage="0" bottom="0" percent="0" rank="0" text="" dxfId="2">
      <formula>M73="✓"</formula>
    </cfRule>
  </conditionalFormatting>
  <conditionalFormatting sqref="E111:E119">
    <cfRule type="expression" priority="40" aboveAverage="0" equalAverage="0" bottom="0" percent="0" rank="0" text="" dxfId="0">
      <formula>AND(ISNUMBER(E111),E111=MAX($E$111:$E$119))</formula>
    </cfRule>
  </conditionalFormatting>
  <conditionalFormatting sqref="E120:E128">
    <cfRule type="expression" priority="41" aboveAverage="0" equalAverage="0" bottom="0" percent="0" rank="0" text="" dxfId="0">
      <formula>AND(ISNUMBER(E120),E120=MAX($E$120:$E$128))</formula>
    </cfRule>
  </conditionalFormatting>
  <conditionalFormatting sqref="E129:E137">
    <cfRule type="expression" priority="42" aboveAverage="0" equalAverage="0" bottom="0" percent="0" rank="0" text="" dxfId="0">
      <formula>AND(ISNUMBER(E129),E129=MAX($E$129:$E$137))</formula>
    </cfRule>
  </conditionalFormatting>
  <conditionalFormatting sqref="E138:E146">
    <cfRule type="expression" priority="43" aboveAverage="0" equalAverage="0" bottom="0" percent="0" rank="0" text="" dxfId="0">
      <formula>AND(ISNUMBER(E138),E138=MAX($E$138:$E$146))</formula>
    </cfRule>
  </conditionalFormatting>
  <conditionalFormatting sqref="E147:E155">
    <cfRule type="expression" priority="44" aboveAverage="0" equalAverage="0" bottom="0" percent="0" rank="0" text="" dxfId="0">
      <formula>AND(ISNUMBER(E147),E147=MAX($E$147:$E$155))</formula>
    </cfRule>
  </conditionalFormatting>
  <conditionalFormatting sqref="E156:E164">
    <cfRule type="expression" priority="45" aboveAverage="0" equalAverage="0" bottom="0" percent="0" rank="0" text="" dxfId="0">
      <formula>AND(ISNUMBER(E156),E156=MAX($E$156:$E$164))</formula>
    </cfRule>
  </conditionalFormatting>
  <conditionalFormatting sqref="G111:G164">
    <cfRule type="expression" priority="46" aboveAverage="0" equalAverage="0" bottom="0" percent="0" rank="0" text="" dxfId="1">
      <formula>G111="✗"</formula>
    </cfRule>
    <cfRule type="expression" priority="47" aboveAverage="0" equalAverage="0" bottom="0" percent="0" rank="0" text="" dxfId="2">
      <formula>G111="✓"</formula>
    </cfRule>
  </conditionalFormatting>
  <conditionalFormatting sqref="G167:G175">
    <cfRule type="expression" priority="48" aboveAverage="0" equalAverage="0" bottom="0" percent="0" rank="0" text="" dxfId="0">
      <formula>AND(ISNUMBER(G167),G167=MAX($G$167:$G$175))</formula>
    </cfRule>
  </conditionalFormatting>
  <conditionalFormatting sqref="G176:G184">
    <cfRule type="expression" priority="49" aboveAverage="0" equalAverage="0" bottom="0" percent="0" rank="0" text="" dxfId="0">
      <formula>AND(ISNUMBER(G176),G176=MAX($G$176:$G$184))</formula>
    </cfRule>
  </conditionalFormatting>
  <conditionalFormatting sqref="G185:G193">
    <cfRule type="expression" priority="50" aboveAverage="0" equalAverage="0" bottom="0" percent="0" rank="0" text="" dxfId="0">
      <formula>AND(ISNUMBER(G185),G185=MAX($G$185:$G$193))</formula>
    </cfRule>
  </conditionalFormatting>
  <conditionalFormatting sqref="G194:G202">
    <cfRule type="expression" priority="51" aboveAverage="0" equalAverage="0" bottom="0" percent="0" rank="0" text="" dxfId="0">
      <formula>AND(ISNUMBER(G194),G194=MAX($G$194:$G$202))</formula>
    </cfRule>
  </conditionalFormatting>
  <conditionalFormatting sqref="K167:K202">
    <cfRule type="expression" priority="52" aboveAverage="0" equalAverage="0" bottom="0" percent="0" rank="0" text="" dxfId="1">
      <formula>K167="✗"</formula>
    </cfRule>
    <cfRule type="expression" priority="53" aboveAverage="0" equalAverage="0" bottom="0" percent="0" rank="0" text="" dxfId="2">
      <formula>K167="✓"</formula>
    </cfRule>
  </conditionalFormatting>
  <conditionalFormatting sqref="D219:D227">
    <cfRule type="expression" priority="54" aboveAverage="0" equalAverage="0" bottom="0" percent="0" rank="0" text="" dxfId="0">
      <formula>AND(ISNUMBER(D219),D219=MAX($D$219:$D$227))</formula>
    </cfRule>
  </conditionalFormatting>
  <conditionalFormatting sqref="E219:E227">
    <cfRule type="expression" priority="55" aboveAverage="0" equalAverage="0" bottom="0" percent="0" rank="0" text="" dxfId="0">
      <formula>AND(ISNUMBER(E219),E219=MAX($E$219:$E$227))</formula>
    </cfRule>
  </conditionalFormatting>
  <conditionalFormatting sqref="F219:F227">
    <cfRule type="expression" priority="56" aboveAverage="0" equalAverage="0" bottom="0" percent="0" rank="0" text="" dxfId="0">
      <formula>AND(ISNUMBER(F219),F219=MAX($F$219:$F$227))</formula>
    </cfRule>
  </conditionalFormatting>
  <conditionalFormatting sqref="G219:G227">
    <cfRule type="expression" priority="57" aboveAverage="0" equalAverage="0" bottom="0" percent="0" rank="0" text="" dxfId="0">
      <formula>AND(ISNUMBER(G219),G219=MAX($G$219:$G$227))</formula>
    </cfRule>
  </conditionalFormatting>
  <conditionalFormatting sqref="H219:H227">
    <cfRule type="expression" priority="58" aboveAverage="0" equalAverage="0" bottom="0" percent="0" rank="0" text="" dxfId="0">
      <formula>AND(ISNUMBER(H219),H219=MAX($H$219:$H$227))</formula>
    </cfRule>
  </conditionalFormatting>
  <conditionalFormatting sqref="I219:I227">
    <cfRule type="expression" priority="59" aboveAverage="0" equalAverage="0" bottom="0" percent="0" rank="0" text="" dxfId="0">
      <formula>AND(ISNUMBER(I219),I219=MAX($I$219:$I$227))</formula>
    </cfRule>
  </conditionalFormatting>
  <conditionalFormatting sqref="J219:J227">
    <cfRule type="expression" priority="60" aboveAverage="0" equalAverage="0" bottom="0" percent="0" rank="0" text="" dxfId="0">
      <formula>AND(ISNUMBER(J219),J219=MAX($J$219:$J$227))</formula>
    </cfRule>
  </conditionalFormatting>
  <conditionalFormatting sqref="K219:K227">
    <cfRule type="expression" priority="61" aboveAverage="0" equalAverage="0" bottom="0" percent="0" rank="0" text="" dxfId="0">
      <formula>AND(ISNUMBER(K219),K219=MAX($K$219:$K$227))</formula>
    </cfRule>
  </conditionalFormatting>
  <conditionalFormatting sqref="L219:L227">
    <cfRule type="expression" priority="62" aboveAverage="0" equalAverage="0" bottom="0" percent="0" rank="0" text="" dxfId="0">
      <formula>AND(ISNUMBER(L219),L219=MAX($L$219:$L$227))</formula>
    </cfRule>
  </conditionalFormatting>
  <conditionalFormatting sqref="M219:M227">
    <cfRule type="expression" priority="63" aboveAverage="0" equalAverage="0" bottom="0" percent="0" rank="0" text="" dxfId="0">
      <formula>AND(ISNUMBER(M219),M219=MAX($M$219:$M$227))</formula>
    </cfRule>
  </conditionalFormatting>
  <conditionalFormatting sqref="N219:N227">
    <cfRule type="expression" priority="64" aboveAverage="0" equalAverage="0" bottom="0" percent="0" rank="0" text="" dxfId="0">
      <formula>AND(ISNUMBER(N219),N219=MAX($N$219:$N$227))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12" min="3" style="0" width="9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1" t="s">
        <v>73</v>
      </c>
    </row>
    <row r="2" customFormat="false" ht="43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5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16</v>
      </c>
    </row>
    <row r="5" customFormat="false" ht="15" hidden="false" customHeight="false" outlineLevel="0" collapsed="false">
      <c r="A5" s="4" t="s">
        <v>17</v>
      </c>
      <c r="B5" s="5" t="s">
        <v>19</v>
      </c>
      <c r="C5" s="5" t="s">
        <v>20</v>
      </c>
      <c r="D5" s="29" t="n">
        <v>99.96</v>
      </c>
      <c r="E5" s="29" t="n">
        <v>99.96</v>
      </c>
      <c r="F5" s="20" t="n">
        <f aca="false">IF(AND(ISNUMBER(D5),ISNUMBER(E5)),IF(D5+E5&gt;0,2*D5*E5/(D5+E5),0),"-")</f>
        <v>99.96</v>
      </c>
      <c r="G5" s="29" t="n">
        <v>96.88</v>
      </c>
      <c r="H5" s="29" t="n">
        <v>93.17</v>
      </c>
      <c r="I5" s="20" t="n">
        <f aca="false">IF(AND(ISNUMBER(G5),ISNUMBER(H5)),IF(G5+H5&gt;0,2*G5*H5/(G5+H5),0),"-")</f>
        <v>94.988788213628</v>
      </c>
      <c r="J5" s="29" t="n">
        <v>57.6</v>
      </c>
      <c r="K5" s="29" t="n">
        <v>63.55</v>
      </c>
      <c r="L5" s="20" t="n">
        <f aca="false">IF(AND(ISNUMBER(J5),ISNUMBER(K5)),IF(J5+K5&gt;0,2*J5*K5/(J5+K5),0),"-")</f>
        <v>60.4288898060256</v>
      </c>
      <c r="M5" s="30" t="n">
        <v>83978</v>
      </c>
      <c r="N5" s="30" t="n">
        <v>5900</v>
      </c>
      <c r="O5" s="30" t="n">
        <v>2745</v>
      </c>
      <c r="P5" s="30" t="n">
        <v>44</v>
      </c>
    </row>
    <row r="6" customFormat="false" ht="15" hidden="false" customHeight="false" outlineLevel="0" collapsed="false">
      <c r="A6" s="10" t="s">
        <v>17</v>
      </c>
      <c r="B6" s="11" t="s">
        <v>21</v>
      </c>
      <c r="C6" s="11" t="s">
        <v>20</v>
      </c>
      <c r="D6" s="28" t="n">
        <v>99.95</v>
      </c>
      <c r="E6" s="28" t="n">
        <v>99.95</v>
      </c>
      <c r="F6" s="22" t="n">
        <f aca="false">IF(AND(ISNUMBER(D6),ISNUMBER(E6)),IF(D6+E6&gt;0,2*D6*E6/(D6+E6),0),"-")</f>
        <v>99.95</v>
      </c>
      <c r="G6" s="28" t="n">
        <v>96.17</v>
      </c>
      <c r="H6" s="28" t="n">
        <v>88.85</v>
      </c>
      <c r="I6" s="22" t="n">
        <f aca="false">IF(AND(ISNUMBER(G6),ISNUMBER(H6)),IF(G6+H6&gt;0,2*G6*H6/(G6+H6),0),"-")</f>
        <v>92.3651983569344</v>
      </c>
      <c r="J6" s="28" t="n">
        <v>51.04</v>
      </c>
      <c r="K6" s="28" t="n">
        <v>63.36</v>
      </c>
      <c r="L6" s="22" t="n">
        <f aca="false">IF(AND(ISNUMBER(J6),ISNUMBER(K6)),IF(J6+K6&gt;0,2*J6*K6/(J6+K6),0),"-")</f>
        <v>56.5366153846154</v>
      </c>
      <c r="M6" s="31" t="n">
        <v>83978</v>
      </c>
      <c r="N6" s="31" t="n">
        <v>5900</v>
      </c>
      <c r="O6" s="31" t="n">
        <v>2745</v>
      </c>
      <c r="P6" s="31" t="n">
        <v>44</v>
      </c>
    </row>
    <row r="7" customFormat="false" ht="15" hidden="false" customHeight="false" outlineLevel="0" collapsed="false">
      <c r="A7" s="10" t="s">
        <v>17</v>
      </c>
      <c r="B7" s="16" t="s">
        <v>22</v>
      </c>
      <c r="C7" s="16" t="s">
        <v>20</v>
      </c>
      <c r="D7" s="28" t="n">
        <v>99.95</v>
      </c>
      <c r="E7" s="28" t="n">
        <v>99.95</v>
      </c>
      <c r="F7" s="22" t="n">
        <f aca="false">IF(AND(ISNUMBER(D7),ISNUMBER(E7)),IF(D7+E7&gt;0,2*D7*E7/(D7+E7),0),"-")</f>
        <v>99.95</v>
      </c>
      <c r="G7" s="28" t="n">
        <v>96.17</v>
      </c>
      <c r="H7" s="28" t="n">
        <v>88.85</v>
      </c>
      <c r="I7" s="22" t="n">
        <f aca="false">IF(AND(ISNUMBER(G7),ISNUMBER(H7)),IF(G7+H7&gt;0,2*G7*H7/(G7+H7),0),"-")</f>
        <v>92.3651983569344</v>
      </c>
      <c r="J7" s="28" t="n">
        <v>51.04</v>
      </c>
      <c r="K7" s="28" t="n">
        <v>63.36</v>
      </c>
      <c r="L7" s="22" t="n">
        <f aca="false">IF(AND(ISNUMBER(J7),ISNUMBER(K7)),IF(J7+K7&gt;0,2*J7*K7/(J7+K7),0),"-")</f>
        <v>56.5366153846154</v>
      </c>
      <c r="M7" s="31" t="n">
        <v>83978</v>
      </c>
      <c r="N7" s="31" t="n">
        <v>5900</v>
      </c>
      <c r="O7" s="31" t="n">
        <v>2745</v>
      </c>
      <c r="P7" s="31" t="n">
        <v>44</v>
      </c>
    </row>
    <row r="8" customFormat="false" ht="15" hidden="false" customHeight="false" outlineLevel="0" collapsed="false">
      <c r="A8" s="10" t="s">
        <v>17</v>
      </c>
      <c r="B8" s="17" t="s">
        <v>23</v>
      </c>
      <c r="C8" s="17" t="s">
        <v>24</v>
      </c>
      <c r="D8" s="28" t="n">
        <v>99.91</v>
      </c>
      <c r="E8" s="28" t="n">
        <v>99.93</v>
      </c>
      <c r="F8" s="22" t="n">
        <f aca="false">IF(AND(ISNUMBER(D8),ISNUMBER(E8)),IF(D8+E8&gt;0,2*D8*E8/(D8+E8),0),"-")</f>
        <v>99.9199989991994</v>
      </c>
      <c r="G8" s="28" t="n">
        <v>96.61</v>
      </c>
      <c r="H8" s="28" t="n">
        <v>93.92</v>
      </c>
      <c r="I8" s="22" t="n">
        <f aca="false">IF(AND(ISNUMBER(G8),ISNUMBER(H8)),IF(G8+H8&gt;0,2*G8*H8/(G8+H8),0),"-")</f>
        <v>95.2460106020049</v>
      </c>
      <c r="J8" s="28" t="n">
        <v>44.44</v>
      </c>
      <c r="K8" s="28" t="n">
        <v>70.93</v>
      </c>
      <c r="L8" s="22" t="n">
        <f aca="false">IF(AND(ISNUMBER(J8),ISNUMBER(K8)),IF(J8+K8&gt;0,2*J8*K8/(J8+K8),0),"-")</f>
        <v>54.6438276848401</v>
      </c>
      <c r="M8" s="31" t="n">
        <v>83978</v>
      </c>
      <c r="N8" s="31" t="n">
        <v>5900</v>
      </c>
      <c r="O8" s="31" t="n">
        <v>2745</v>
      </c>
      <c r="P8" s="31" t="n">
        <v>44</v>
      </c>
    </row>
    <row r="9" customFormat="false" ht="15" hidden="false" customHeight="false" outlineLevel="0" collapsed="false">
      <c r="A9" s="10" t="s">
        <v>17</v>
      </c>
      <c r="B9" s="11" t="s">
        <v>25</v>
      </c>
      <c r="C9" s="11" t="s">
        <v>24</v>
      </c>
      <c r="D9" s="28" t="n">
        <v>99.92</v>
      </c>
      <c r="E9" s="28" t="n">
        <v>99.91</v>
      </c>
      <c r="F9" s="22" t="n">
        <f aca="false">IF(AND(ISNUMBER(D9),ISNUMBER(E9)),IF(D9+E9&gt;0,2*D9*E9/(D9+E9),0),"-")</f>
        <v>99.9149997497873</v>
      </c>
      <c r="G9" s="28" t="n">
        <v>96.54</v>
      </c>
      <c r="H9" s="28" t="n">
        <v>78.65</v>
      </c>
      <c r="I9" s="22" t="n">
        <f aca="false">IF(AND(ISNUMBER(G9),ISNUMBER(H9)),IF(G9+H9&gt;0,2*G9*H9/(G9+H9),0),"-")</f>
        <v>86.6815571665049</v>
      </c>
      <c r="J9" s="28" t="n">
        <v>48.52</v>
      </c>
      <c r="K9" s="28" t="n">
        <v>54.57</v>
      </c>
      <c r="L9" s="22" t="n">
        <f aca="false">IF(AND(ISNUMBER(J9),ISNUMBER(K9)),IF(J9+K9&gt;0,2*J9*K9/(J9+K9),0),"-")</f>
        <v>51.3674730817732</v>
      </c>
      <c r="M9" s="31" t="n">
        <v>83978</v>
      </c>
      <c r="N9" s="31" t="n">
        <v>5900</v>
      </c>
      <c r="O9" s="31" t="n">
        <v>2745</v>
      </c>
      <c r="P9" s="31" t="n">
        <v>44</v>
      </c>
    </row>
    <row r="10" customFormat="false" ht="15" hidden="false" customHeight="false" outlineLevel="0" collapsed="false">
      <c r="A10" s="10" t="s">
        <v>17</v>
      </c>
      <c r="B10" s="16" t="s">
        <v>26</v>
      </c>
      <c r="C10" s="16" t="s">
        <v>24</v>
      </c>
      <c r="D10" s="28" t="n">
        <v>99.91</v>
      </c>
      <c r="E10" s="28" t="n">
        <v>99.93</v>
      </c>
      <c r="F10" s="22" t="n">
        <f aca="false">IF(AND(ISNUMBER(D10),ISNUMBER(E10)),IF(D10+E10&gt;0,2*D10*E10/(D10+E10),0),"-")</f>
        <v>99.9199989991994</v>
      </c>
      <c r="G10" s="28" t="n">
        <v>96.61</v>
      </c>
      <c r="H10" s="28" t="n">
        <v>93.92</v>
      </c>
      <c r="I10" s="22" t="n">
        <f aca="false">IF(AND(ISNUMBER(G10),ISNUMBER(H10)),IF(G10+H10&gt;0,2*G10*H10/(G10+H10),0),"-")</f>
        <v>95.2460106020049</v>
      </c>
      <c r="J10" s="28" t="n">
        <v>44.41</v>
      </c>
      <c r="K10" s="28" t="n">
        <v>70.91</v>
      </c>
      <c r="L10" s="22" t="n">
        <f aca="false">IF(AND(ISNUMBER(J10),ISNUMBER(K10)),IF(J10+K10&gt;0,2*J10*K10/(J10+K10),0),"-")</f>
        <v>54.6152115851544</v>
      </c>
      <c r="M10" s="31" t="n">
        <v>83978</v>
      </c>
      <c r="N10" s="31" t="n">
        <v>5900</v>
      </c>
      <c r="O10" s="31" t="n">
        <v>2745</v>
      </c>
      <c r="P10" s="31" t="n">
        <v>44</v>
      </c>
    </row>
    <row r="11" customFormat="false" ht="15" hidden="false" customHeight="false" outlineLevel="0" collapsed="false">
      <c r="A11" s="10" t="s">
        <v>17</v>
      </c>
      <c r="B11" s="17" t="s">
        <v>27</v>
      </c>
      <c r="C11" s="17" t="s">
        <v>28</v>
      </c>
      <c r="D11" s="28" t="n">
        <v>99.9</v>
      </c>
      <c r="E11" s="28" t="n">
        <v>99.92</v>
      </c>
      <c r="F11" s="22" t="n">
        <f aca="false">IF(AND(ISNUMBER(D11),ISNUMBER(E11)),IF(D11+E11&gt;0,2*D11*E11/(D11+E11),0),"-")</f>
        <v>99.9099989990992</v>
      </c>
      <c r="G11" s="28" t="n">
        <v>93.36</v>
      </c>
      <c r="H11" s="28" t="n">
        <v>94.57</v>
      </c>
      <c r="I11" s="22" t="n">
        <f aca="false">IF(AND(ISNUMBER(G11),ISNUMBER(H11)),IF(G11+H11&gt;0,2*G11*H11/(G11+H11),0),"-")</f>
        <v>93.9611046666312</v>
      </c>
      <c r="J11" s="28" t="n">
        <v>49.69</v>
      </c>
      <c r="K11" s="28" t="n">
        <v>61.69</v>
      </c>
      <c r="L11" s="22" t="n">
        <f aca="false">IF(AND(ISNUMBER(J11),ISNUMBER(K11)),IF(J11+K11&gt;0,2*J11*K11/(J11+K11),0),"-")</f>
        <v>55.0435643742144</v>
      </c>
      <c r="M11" s="31" t="n">
        <v>83978</v>
      </c>
      <c r="N11" s="31" t="n">
        <v>5900</v>
      </c>
      <c r="O11" s="31" t="n">
        <v>2745</v>
      </c>
      <c r="P11" s="31" t="n">
        <v>44</v>
      </c>
    </row>
    <row r="12" customFormat="false" ht="15" hidden="false" customHeight="false" outlineLevel="0" collapsed="false">
      <c r="A12" s="10" t="s">
        <v>17</v>
      </c>
      <c r="B12" s="11" t="s">
        <v>29</v>
      </c>
      <c r="C12" s="11" t="s">
        <v>28</v>
      </c>
      <c r="D12" s="28" t="n">
        <v>99.92</v>
      </c>
      <c r="E12" s="28" t="n">
        <v>99.88</v>
      </c>
      <c r="F12" s="22" t="n">
        <f aca="false">IF(AND(ISNUMBER(D12),ISNUMBER(E12)),IF(D12+E12&gt;0,2*D12*E12/(D12+E12),0),"-")</f>
        <v>99.899995995996</v>
      </c>
      <c r="G12" s="28" t="n">
        <v>92.83</v>
      </c>
      <c r="H12" s="28" t="n">
        <v>91.5</v>
      </c>
      <c r="I12" s="22" t="n">
        <f aca="false">IF(AND(ISNUMBER(G12),ISNUMBER(H12)),IF(G12+H12&gt;0,2*G12*H12/(G12+H12),0),"-")</f>
        <v>92.1602018119677</v>
      </c>
      <c r="J12" s="28" t="n">
        <v>47.69</v>
      </c>
      <c r="K12" s="28" t="n">
        <v>52.28</v>
      </c>
      <c r="L12" s="22" t="n">
        <f aca="false">IF(AND(ISNUMBER(J12),ISNUMBER(K12)),IF(J12+K12&gt;0,2*J12*K12/(J12+K12),0),"-")</f>
        <v>49.8796278883665</v>
      </c>
      <c r="M12" s="31" t="n">
        <v>83978</v>
      </c>
      <c r="N12" s="31" t="n">
        <v>5900</v>
      </c>
      <c r="O12" s="31" t="n">
        <v>2745</v>
      </c>
      <c r="P12" s="31" t="n">
        <v>44</v>
      </c>
    </row>
    <row r="13" customFormat="false" ht="15" hidden="false" customHeight="false" outlineLevel="0" collapsed="false">
      <c r="A13" s="10" t="s">
        <v>17</v>
      </c>
      <c r="B13" s="16" t="s">
        <v>30</v>
      </c>
      <c r="C13" s="16" t="s">
        <v>28</v>
      </c>
      <c r="D13" s="28" t="n">
        <v>99.9</v>
      </c>
      <c r="E13" s="28" t="n">
        <v>99.92</v>
      </c>
      <c r="F13" s="22" t="n">
        <f aca="false">IF(AND(ISNUMBER(D13),ISNUMBER(E13)),IF(D13+E13&gt;0,2*D13*E13/(D13+E13),0),"-")</f>
        <v>99.9099989990992</v>
      </c>
      <c r="G13" s="28" t="n">
        <v>93.36</v>
      </c>
      <c r="H13" s="28" t="n">
        <v>94.57</v>
      </c>
      <c r="I13" s="22" t="n">
        <f aca="false">IF(AND(ISNUMBER(G13),ISNUMBER(H13)),IF(G13+H13&gt;0,2*G13*H13/(G13+H13),0),"-")</f>
        <v>93.9611046666312</v>
      </c>
      <c r="J13" s="28" t="n">
        <v>50.16</v>
      </c>
      <c r="K13" s="28" t="n">
        <v>59.77</v>
      </c>
      <c r="L13" s="22" t="n">
        <f aca="false">IF(AND(ISNUMBER(J13),ISNUMBER(K13)),IF(J13+K13&gt;0,2*J13*K13/(J13+K13),0),"-")</f>
        <v>54.5449504229965</v>
      </c>
      <c r="M13" s="31" t="n">
        <v>83978</v>
      </c>
      <c r="N13" s="31" t="n">
        <v>5900</v>
      </c>
      <c r="O13" s="31" t="n">
        <v>2745</v>
      </c>
      <c r="P13" s="31" t="n">
        <v>44</v>
      </c>
    </row>
    <row r="14" customFormat="false" ht="15" hidden="false" customHeight="false" outlineLevel="0" collapsed="false">
      <c r="A14" s="4" t="s">
        <v>35</v>
      </c>
      <c r="B14" s="5" t="s">
        <v>19</v>
      </c>
      <c r="C14" s="5" t="s">
        <v>20</v>
      </c>
      <c r="D14" s="29" t="n">
        <v>99.99</v>
      </c>
      <c r="E14" s="29" t="n">
        <v>99.97</v>
      </c>
      <c r="F14" s="20" t="n">
        <f aca="false">IF(AND(ISNUMBER(D14),ISNUMBER(E14)),IF(D14+E14&gt;0,2*D14*E14/(D14+E14),0),"-")</f>
        <v>99.9799989998</v>
      </c>
      <c r="G14" s="29" t="n">
        <v>97.76</v>
      </c>
      <c r="H14" s="29" t="n">
        <v>95.55</v>
      </c>
      <c r="I14" s="20" t="n">
        <f aca="false">IF(AND(ISNUMBER(G14),ISNUMBER(H14)),IF(G14+H14&gt;0,2*G14*H14/(G14+H14),0),"-")</f>
        <v>96.6423671822461</v>
      </c>
      <c r="J14" s="29" t="n">
        <v>69.4</v>
      </c>
      <c r="K14" s="29" t="n">
        <v>22.24</v>
      </c>
      <c r="L14" s="20" t="n">
        <f aca="false">IF(AND(ISNUMBER(J14),ISNUMBER(K14)),IF(J14+K14&gt;0,2*J14*K14/(J14+K14),0),"-")</f>
        <v>33.6852029681362</v>
      </c>
      <c r="M14" s="30" t="n">
        <v>759878</v>
      </c>
      <c r="N14" s="30" t="n">
        <v>4375</v>
      </c>
      <c r="O14" s="30" t="n">
        <v>1075</v>
      </c>
      <c r="P14" s="30" t="n">
        <v>90</v>
      </c>
    </row>
    <row r="15" customFormat="false" ht="15" hidden="false" customHeight="false" outlineLevel="0" collapsed="false">
      <c r="A15" s="10" t="s">
        <v>35</v>
      </c>
      <c r="B15" s="11" t="s">
        <v>21</v>
      </c>
      <c r="C15" s="11" t="s">
        <v>20</v>
      </c>
      <c r="D15" s="28" t="n">
        <v>99.99</v>
      </c>
      <c r="E15" s="28" t="n">
        <v>99.96</v>
      </c>
      <c r="F15" s="22" t="n">
        <f aca="false">IF(AND(ISNUMBER(D15),ISNUMBER(E15)),IF(D15+E15&gt;0,2*D15*E15/(D15+E15),0),"-")</f>
        <v>99.9749977494374</v>
      </c>
      <c r="G15" s="28" t="n">
        <v>97.46</v>
      </c>
      <c r="H15" s="28" t="n">
        <v>93.78</v>
      </c>
      <c r="I15" s="22" t="n">
        <f aca="false">IF(AND(ISNUMBER(G15),ISNUMBER(H15)),IF(G15+H15&gt;0,2*G15*H15/(G15+H15),0),"-")</f>
        <v>95.5845931813428</v>
      </c>
      <c r="J15" s="28" t="n">
        <v>68</v>
      </c>
      <c r="K15" s="28" t="n">
        <v>33.06</v>
      </c>
      <c r="L15" s="22" t="n">
        <f aca="false">IF(AND(ISNUMBER(J15),ISNUMBER(K15)),IF(J15+K15&gt;0,2*J15*K15/(J15+K15),0),"-")</f>
        <v>44.4900059370671</v>
      </c>
      <c r="M15" s="31" t="n">
        <v>759878</v>
      </c>
      <c r="N15" s="31" t="n">
        <v>4375</v>
      </c>
      <c r="O15" s="31" t="n">
        <v>1075</v>
      </c>
      <c r="P15" s="31" t="n">
        <v>90</v>
      </c>
    </row>
    <row r="16" customFormat="false" ht="15" hidden="false" customHeight="false" outlineLevel="0" collapsed="false">
      <c r="A16" s="10" t="s">
        <v>35</v>
      </c>
      <c r="B16" s="16" t="s">
        <v>22</v>
      </c>
      <c r="C16" s="16" t="s">
        <v>20</v>
      </c>
      <c r="D16" s="28" t="n">
        <v>99.99</v>
      </c>
      <c r="E16" s="28" t="n">
        <v>99.96</v>
      </c>
      <c r="F16" s="22" t="n">
        <f aca="false">IF(AND(ISNUMBER(D16),ISNUMBER(E16)),IF(D16+E16&gt;0,2*D16*E16/(D16+E16),0),"-")</f>
        <v>99.9749977494374</v>
      </c>
      <c r="G16" s="28" t="n">
        <v>97.46</v>
      </c>
      <c r="H16" s="28" t="n">
        <v>93.78</v>
      </c>
      <c r="I16" s="22" t="n">
        <f aca="false">IF(AND(ISNUMBER(G16),ISNUMBER(H16)),IF(G16+H16&gt;0,2*G16*H16/(G16+H16),0),"-")</f>
        <v>95.5845931813428</v>
      </c>
      <c r="J16" s="28" t="n">
        <v>68</v>
      </c>
      <c r="K16" s="28" t="n">
        <v>33.06</v>
      </c>
      <c r="L16" s="22" t="n">
        <f aca="false">IF(AND(ISNUMBER(J16),ISNUMBER(K16)),IF(J16+K16&gt;0,2*J16*K16/(J16+K16),0),"-")</f>
        <v>44.4900059370671</v>
      </c>
      <c r="M16" s="31" t="n">
        <v>759878</v>
      </c>
      <c r="N16" s="31" t="n">
        <v>4375</v>
      </c>
      <c r="O16" s="31" t="n">
        <v>1075</v>
      </c>
      <c r="P16" s="31" t="n">
        <v>90</v>
      </c>
    </row>
    <row r="17" customFormat="false" ht="15" hidden="false" customHeight="false" outlineLevel="0" collapsed="false">
      <c r="A17" s="10" t="s">
        <v>35</v>
      </c>
      <c r="B17" s="17" t="s">
        <v>23</v>
      </c>
      <c r="C17" s="17" t="s">
        <v>24</v>
      </c>
      <c r="D17" s="28" t="n">
        <v>99.98</v>
      </c>
      <c r="E17" s="28" t="n">
        <v>99.96</v>
      </c>
      <c r="F17" s="22" t="n">
        <f aca="false">IF(AND(ISNUMBER(D17),ISNUMBER(E17)),IF(D17+E17&gt;0,2*D17*E17/(D17+E17),0),"-")</f>
        <v>99.9699989996999</v>
      </c>
      <c r="G17" s="28" t="n">
        <v>97.23</v>
      </c>
      <c r="H17" s="28" t="n">
        <v>95.62</v>
      </c>
      <c r="I17" s="22" t="n">
        <f aca="false">IF(AND(ISNUMBER(G17),ISNUMBER(H17)),IF(G17+H17&gt;0,2*G17*H17/(G17+H17),0),"-")</f>
        <v>96.418279491833</v>
      </c>
      <c r="J17" s="28" t="n">
        <v>62.79</v>
      </c>
      <c r="K17" s="28" t="n">
        <v>21.27</v>
      </c>
      <c r="L17" s="22" t="n">
        <f aca="false">IF(AND(ISNUMBER(J17),ISNUMBER(K17)),IF(J17+K17&gt;0,2*J17*K17/(J17+K17),0),"-")</f>
        <v>31.7759528907923</v>
      </c>
      <c r="M17" s="31" t="n">
        <v>759878</v>
      </c>
      <c r="N17" s="31" t="n">
        <v>4375</v>
      </c>
      <c r="O17" s="31" t="n">
        <v>1075</v>
      </c>
      <c r="P17" s="31" t="n">
        <v>90</v>
      </c>
    </row>
    <row r="18" customFormat="false" ht="15" hidden="false" customHeight="false" outlineLevel="0" collapsed="false">
      <c r="A18" s="10" t="s">
        <v>35</v>
      </c>
      <c r="B18" s="11" t="s">
        <v>25</v>
      </c>
      <c r="C18" s="11" t="s">
        <v>24</v>
      </c>
      <c r="D18" s="28" t="n">
        <v>99.98</v>
      </c>
      <c r="E18" s="28" t="n">
        <v>99.96</v>
      </c>
      <c r="F18" s="22" t="n">
        <f aca="false">IF(AND(ISNUMBER(D18),ISNUMBER(E18)),IF(D18+E18&gt;0,2*D18*E18/(D18+E18),0),"-")</f>
        <v>99.9699989996999</v>
      </c>
      <c r="G18" s="28" t="n">
        <v>97.76</v>
      </c>
      <c r="H18" s="28" t="n">
        <v>39.24</v>
      </c>
      <c r="I18" s="22" t="n">
        <f aca="false">IF(AND(ISNUMBER(G18),ISNUMBER(H18)),IF(G18+H18&gt;0,2*G18*H18/(G18+H18),0),"-")</f>
        <v>56.001494890511</v>
      </c>
      <c r="J18" s="28" t="n">
        <v>63.16</v>
      </c>
      <c r="K18" s="28" t="n">
        <v>9.6</v>
      </c>
      <c r="L18" s="22" t="n">
        <f aca="false">IF(AND(ISNUMBER(J18),ISNUMBER(K18)),IF(J18+K18&gt;0,2*J18*K18/(J18+K18),0),"-")</f>
        <v>16.6667399670148</v>
      </c>
      <c r="M18" s="31" t="n">
        <v>759878</v>
      </c>
      <c r="N18" s="31" t="n">
        <v>4375</v>
      </c>
      <c r="O18" s="31" t="n">
        <v>1075</v>
      </c>
      <c r="P18" s="31" t="n">
        <v>90</v>
      </c>
    </row>
    <row r="19" customFormat="false" ht="15" hidden="false" customHeight="false" outlineLevel="0" collapsed="false">
      <c r="A19" s="10" t="s">
        <v>35</v>
      </c>
      <c r="B19" s="16" t="s">
        <v>26</v>
      </c>
      <c r="C19" s="16" t="s">
        <v>24</v>
      </c>
      <c r="D19" s="28" t="n">
        <v>99.98</v>
      </c>
      <c r="E19" s="28" t="n">
        <v>99.96</v>
      </c>
      <c r="F19" s="22" t="n">
        <f aca="false">IF(AND(ISNUMBER(D19),ISNUMBER(E19)),IF(D19+E19&gt;0,2*D19*E19/(D19+E19),0),"-")</f>
        <v>99.9699989996999</v>
      </c>
      <c r="G19" s="28" t="n">
        <v>97.23</v>
      </c>
      <c r="H19" s="28" t="n">
        <v>95.62</v>
      </c>
      <c r="I19" s="22" t="n">
        <f aca="false">IF(AND(ISNUMBER(G19),ISNUMBER(H19)),IF(G19+H19&gt;0,2*G19*H19/(G19+H19),0),"-")</f>
        <v>96.418279491833</v>
      </c>
      <c r="J19" s="28" t="n">
        <v>62.79</v>
      </c>
      <c r="K19" s="28" t="n">
        <v>21.23</v>
      </c>
      <c r="L19" s="22" t="n">
        <f aca="false">IF(AND(ISNUMBER(J19),ISNUMBER(K19)),IF(J19+K19&gt;0,2*J19*K19/(J19+K19),0),"-")</f>
        <v>31.7312949297786</v>
      </c>
      <c r="M19" s="31" t="n">
        <v>759878</v>
      </c>
      <c r="N19" s="31" t="n">
        <v>4375</v>
      </c>
      <c r="O19" s="31" t="n">
        <v>1075</v>
      </c>
      <c r="P19" s="31" t="n">
        <v>90</v>
      </c>
    </row>
    <row r="20" customFormat="false" ht="15" hidden="false" customHeight="false" outlineLevel="0" collapsed="false">
      <c r="A20" s="10" t="s">
        <v>35</v>
      </c>
      <c r="B20" s="17" t="s">
        <v>27</v>
      </c>
      <c r="C20" s="17" t="s">
        <v>28</v>
      </c>
      <c r="D20" s="28" t="n">
        <v>99.98</v>
      </c>
      <c r="E20" s="28" t="n">
        <v>99.95</v>
      </c>
      <c r="F20" s="22" t="n">
        <f aca="false">IF(AND(ISNUMBER(D20),ISNUMBER(E20)),IF(D20+E20&gt;0,2*D20*E20/(D20+E20),0),"-")</f>
        <v>99.9649977492122</v>
      </c>
      <c r="G20" s="28" t="n">
        <v>94.38</v>
      </c>
      <c r="H20" s="28" t="n">
        <v>95.47</v>
      </c>
      <c r="I20" s="22" t="n">
        <f aca="false">IF(AND(ISNUMBER(G20),ISNUMBER(H20)),IF(G20+H20&gt;0,2*G20*H20/(G20+H20),0),"-")</f>
        <v>94.9218709507506</v>
      </c>
      <c r="J20" s="28" t="n">
        <v>63.35</v>
      </c>
      <c r="K20" s="28" t="n">
        <v>16.38</v>
      </c>
      <c r="L20" s="22" t="n">
        <f aca="false">IF(AND(ISNUMBER(J20),ISNUMBER(K20)),IF(J20+K20&gt;0,2*J20*K20/(J20+K20),0),"-")</f>
        <v>26.0296751536435</v>
      </c>
      <c r="M20" s="31" t="n">
        <v>759878</v>
      </c>
      <c r="N20" s="31" t="n">
        <v>4375</v>
      </c>
      <c r="O20" s="31" t="n">
        <v>1075</v>
      </c>
      <c r="P20" s="31" t="n">
        <v>90</v>
      </c>
    </row>
    <row r="21" customFormat="false" ht="15" hidden="false" customHeight="false" outlineLevel="0" collapsed="false">
      <c r="A21" s="10" t="s">
        <v>35</v>
      </c>
      <c r="B21" s="11" t="s">
        <v>29</v>
      </c>
      <c r="C21" s="11" t="s">
        <v>28</v>
      </c>
      <c r="D21" s="28" t="n">
        <v>99.98</v>
      </c>
      <c r="E21" s="28" t="n">
        <v>99.94</v>
      </c>
      <c r="F21" s="22" t="n">
        <f aca="false">IF(AND(ISNUMBER(D21),ISNUMBER(E21)),IF(D21+E21&gt;0,2*D21*E21/(D21+E21),0),"-")</f>
        <v>99.9599959983994</v>
      </c>
      <c r="G21" s="28" t="n">
        <v>95.2</v>
      </c>
      <c r="H21" s="28" t="n">
        <v>88.86</v>
      </c>
      <c r="I21" s="22" t="n">
        <f aca="false">IF(AND(ISNUMBER(G21),ISNUMBER(H21)),IF(G21+H21&gt;0,2*G21*H21/(G21+H21),0),"-")</f>
        <v>91.920808432033</v>
      </c>
      <c r="J21" s="28" t="n">
        <v>60.93</v>
      </c>
      <c r="K21" s="28" t="n">
        <v>8.19</v>
      </c>
      <c r="L21" s="22" t="n">
        <f aca="false">IF(AND(ISNUMBER(J21),ISNUMBER(K21)),IF(J21+K21&gt;0,2*J21*K21/(J21+K21),0),"-")</f>
        <v>14.439140625</v>
      </c>
      <c r="M21" s="31" t="n">
        <v>759878</v>
      </c>
      <c r="N21" s="31" t="n">
        <v>4375</v>
      </c>
      <c r="O21" s="31" t="n">
        <v>1075</v>
      </c>
      <c r="P21" s="31" t="n">
        <v>90</v>
      </c>
    </row>
    <row r="22" customFormat="false" ht="15" hidden="false" customHeight="false" outlineLevel="0" collapsed="false">
      <c r="A22" s="10" t="s">
        <v>35</v>
      </c>
      <c r="B22" s="16" t="s">
        <v>30</v>
      </c>
      <c r="C22" s="16" t="s">
        <v>28</v>
      </c>
      <c r="D22" s="28" t="n">
        <v>99.98</v>
      </c>
      <c r="E22" s="28" t="n">
        <v>99.95</v>
      </c>
      <c r="F22" s="22" t="n">
        <f aca="false">IF(AND(ISNUMBER(D22),ISNUMBER(E22)),IF(D22+E22&gt;0,2*D22*E22/(D22+E22),0),"-")</f>
        <v>99.9649977492122</v>
      </c>
      <c r="G22" s="28" t="n">
        <v>94.38</v>
      </c>
      <c r="H22" s="28" t="n">
        <v>95.47</v>
      </c>
      <c r="I22" s="22" t="n">
        <f aca="false">IF(AND(ISNUMBER(G22),ISNUMBER(H22)),IF(G22+H22&gt;0,2*G22*H22/(G22+H22),0),"-")</f>
        <v>94.9218709507506</v>
      </c>
      <c r="J22" s="28" t="n">
        <v>63.35</v>
      </c>
      <c r="K22" s="28" t="n">
        <v>15.41</v>
      </c>
      <c r="L22" s="22" t="n">
        <f aca="false">IF(AND(ISNUMBER(J22),ISNUMBER(K22)),IF(J22+K22&gt;0,2*J22*K22/(J22+K22),0),"-")</f>
        <v>24.7898298628746</v>
      </c>
      <c r="M22" s="31" t="n">
        <v>759878</v>
      </c>
      <c r="N22" s="31" t="n">
        <v>4375</v>
      </c>
      <c r="O22" s="31" t="n">
        <v>1075</v>
      </c>
      <c r="P22" s="31" t="n">
        <v>90</v>
      </c>
    </row>
    <row r="23" customFormat="false" ht="15" hidden="false" customHeight="false" outlineLevel="0" collapsed="false">
      <c r="A23" s="4" t="s">
        <v>34</v>
      </c>
      <c r="B23" s="5" t="s">
        <v>19</v>
      </c>
      <c r="C23" s="5" t="s">
        <v>20</v>
      </c>
      <c r="D23" s="29" t="n">
        <v>97.56</v>
      </c>
      <c r="E23" s="29" t="n">
        <v>95.49</v>
      </c>
      <c r="F23" s="20" t="n">
        <f aca="false">IF(AND(ISNUMBER(D23),ISNUMBER(E23)),IF(D23+E23&gt;0,2*D23*E23/(D23+E23),0),"-")</f>
        <v>96.5139020979021</v>
      </c>
      <c r="G23" s="5" t="s">
        <v>36</v>
      </c>
      <c r="H23" s="29" t="n">
        <v>0</v>
      </c>
      <c r="I23" s="20" t="str">
        <f aca="false">IF(AND(ISNUMBER(G23),ISNUMBER(H23)),IF(G23+H23&gt;0,2*G23*H23/(G23+H23),0),"-")</f>
        <v>-</v>
      </c>
      <c r="J23" s="5" t="s">
        <v>36</v>
      </c>
      <c r="K23" s="29" t="n">
        <v>0</v>
      </c>
      <c r="L23" s="20" t="str">
        <f aca="false">IF(AND(ISNUMBER(J23),ISNUMBER(K23)),IF(J23+K23&gt;0,2*J23*K23/(J23+K23),0),"-")</f>
        <v>-</v>
      </c>
      <c r="M23" s="30" t="n">
        <v>1119211</v>
      </c>
      <c r="N23" s="30" t="n">
        <v>0</v>
      </c>
      <c r="O23" s="30" t="n">
        <v>0</v>
      </c>
      <c r="P23" s="30" t="n">
        <v>23</v>
      </c>
    </row>
    <row r="24" customFormat="false" ht="15" hidden="false" customHeight="false" outlineLevel="0" collapsed="false">
      <c r="A24" s="10" t="s">
        <v>34</v>
      </c>
      <c r="B24" s="11" t="s">
        <v>21</v>
      </c>
      <c r="C24" s="11" t="s">
        <v>20</v>
      </c>
      <c r="D24" s="28" t="n">
        <v>97.56</v>
      </c>
      <c r="E24" s="28" t="n">
        <v>95.49</v>
      </c>
      <c r="F24" s="22" t="n">
        <f aca="false">IF(AND(ISNUMBER(D24),ISNUMBER(E24)),IF(D24+E24&gt;0,2*D24*E24/(D24+E24),0),"-")</f>
        <v>96.5139020979021</v>
      </c>
      <c r="G24" s="17" t="s">
        <v>36</v>
      </c>
      <c r="H24" s="28" t="n">
        <v>0</v>
      </c>
      <c r="I24" s="22" t="str">
        <f aca="false">IF(AND(ISNUMBER(G24),ISNUMBER(H24)),IF(G24+H24&gt;0,2*G24*H24/(G24+H24),0),"-")</f>
        <v>-</v>
      </c>
      <c r="J24" s="17" t="s">
        <v>36</v>
      </c>
      <c r="K24" s="28" t="n">
        <v>0</v>
      </c>
      <c r="L24" s="22" t="str">
        <f aca="false">IF(AND(ISNUMBER(J24),ISNUMBER(K24)),IF(J24+K24&gt;0,2*J24*K24/(J24+K24),0),"-")</f>
        <v>-</v>
      </c>
      <c r="M24" s="31" t="n">
        <v>1119211</v>
      </c>
      <c r="N24" s="31" t="n">
        <v>0</v>
      </c>
      <c r="O24" s="31" t="n">
        <v>0</v>
      </c>
      <c r="P24" s="31" t="n">
        <v>23</v>
      </c>
    </row>
    <row r="25" customFormat="false" ht="15" hidden="false" customHeight="false" outlineLevel="0" collapsed="false">
      <c r="A25" s="10" t="s">
        <v>34</v>
      </c>
      <c r="B25" s="16" t="s">
        <v>22</v>
      </c>
      <c r="C25" s="16" t="s">
        <v>20</v>
      </c>
      <c r="D25" s="28" t="n">
        <v>97.56</v>
      </c>
      <c r="E25" s="28" t="n">
        <v>95.49</v>
      </c>
      <c r="F25" s="22" t="n">
        <f aca="false">IF(AND(ISNUMBER(D25),ISNUMBER(E25)),IF(D25+E25&gt;0,2*D25*E25/(D25+E25),0),"-")</f>
        <v>96.5139020979021</v>
      </c>
      <c r="G25" s="17" t="s">
        <v>36</v>
      </c>
      <c r="H25" s="28" t="n">
        <v>0</v>
      </c>
      <c r="I25" s="22" t="str">
        <f aca="false">IF(AND(ISNUMBER(G25),ISNUMBER(H25)),IF(G25+H25&gt;0,2*G25*H25/(G25+H25),0),"-")</f>
        <v>-</v>
      </c>
      <c r="J25" s="17" t="s">
        <v>36</v>
      </c>
      <c r="K25" s="28" t="n">
        <v>0</v>
      </c>
      <c r="L25" s="22" t="str">
        <f aca="false">IF(AND(ISNUMBER(J25),ISNUMBER(K25)),IF(J25+K25&gt;0,2*J25*K25/(J25+K25),0),"-")</f>
        <v>-</v>
      </c>
      <c r="M25" s="31" t="n">
        <v>1119211</v>
      </c>
      <c r="N25" s="31" t="n">
        <v>0</v>
      </c>
      <c r="O25" s="31" t="n">
        <v>0</v>
      </c>
      <c r="P25" s="31" t="n">
        <v>23</v>
      </c>
    </row>
    <row r="26" customFormat="false" ht="15" hidden="false" customHeight="false" outlineLevel="0" collapsed="false">
      <c r="A26" s="10" t="s">
        <v>34</v>
      </c>
      <c r="B26" s="17" t="s">
        <v>23</v>
      </c>
      <c r="C26" s="17" t="s">
        <v>24</v>
      </c>
      <c r="D26" s="28" t="n">
        <v>97.55</v>
      </c>
      <c r="E26" s="28" t="n">
        <v>95.5</v>
      </c>
      <c r="F26" s="22" t="n">
        <f aca="false">IF(AND(ISNUMBER(D26),ISNUMBER(E26)),IF(D26+E26&gt;0,2*D26*E26/(D26+E26),0),"-")</f>
        <v>96.5141155141155</v>
      </c>
      <c r="G26" s="17" t="s">
        <v>36</v>
      </c>
      <c r="H26" s="28" t="n">
        <v>0</v>
      </c>
      <c r="I26" s="22" t="str">
        <f aca="false">IF(AND(ISNUMBER(G26),ISNUMBER(H26)),IF(G26+H26&gt;0,2*G26*H26/(G26+H26),0),"-")</f>
        <v>-</v>
      </c>
      <c r="J26" s="17" t="s">
        <v>36</v>
      </c>
      <c r="K26" s="28" t="n">
        <v>0</v>
      </c>
      <c r="L26" s="22" t="str">
        <f aca="false">IF(AND(ISNUMBER(J26),ISNUMBER(K26)),IF(J26+K26&gt;0,2*J26*K26/(J26+K26),0),"-")</f>
        <v>-</v>
      </c>
      <c r="M26" s="31" t="n">
        <v>1119211</v>
      </c>
      <c r="N26" s="31" t="n">
        <v>0</v>
      </c>
      <c r="O26" s="31" t="n">
        <v>0</v>
      </c>
      <c r="P26" s="31" t="n">
        <v>23</v>
      </c>
    </row>
    <row r="27" customFormat="false" ht="15" hidden="false" customHeight="false" outlineLevel="0" collapsed="false">
      <c r="A27" s="10" t="s">
        <v>34</v>
      </c>
      <c r="B27" s="11" t="s">
        <v>25</v>
      </c>
      <c r="C27" s="11" t="s">
        <v>24</v>
      </c>
      <c r="D27" s="28" t="n">
        <v>97.56</v>
      </c>
      <c r="E27" s="28" t="n">
        <v>95.47</v>
      </c>
      <c r="F27" s="22" t="n">
        <f aca="false">IF(AND(ISNUMBER(D27),ISNUMBER(E27)),IF(D27+E27&gt;0,2*D27*E27/(D27+E27),0),"-")</f>
        <v>96.5036854374968</v>
      </c>
      <c r="G27" s="17" t="s">
        <v>36</v>
      </c>
      <c r="H27" s="28" t="n">
        <v>0</v>
      </c>
      <c r="I27" s="22" t="str">
        <f aca="false">IF(AND(ISNUMBER(G27),ISNUMBER(H27)),IF(G27+H27&gt;0,2*G27*H27/(G27+H27),0),"-")</f>
        <v>-</v>
      </c>
      <c r="J27" s="17" t="s">
        <v>36</v>
      </c>
      <c r="K27" s="28" t="n">
        <v>0</v>
      </c>
      <c r="L27" s="22" t="str">
        <f aca="false">IF(AND(ISNUMBER(J27),ISNUMBER(K27)),IF(J27+K27&gt;0,2*J27*K27/(J27+K27),0),"-")</f>
        <v>-</v>
      </c>
      <c r="M27" s="31" t="n">
        <v>1119211</v>
      </c>
      <c r="N27" s="31" t="n">
        <v>0</v>
      </c>
      <c r="O27" s="31" t="n">
        <v>0</v>
      </c>
      <c r="P27" s="31" t="n">
        <v>23</v>
      </c>
    </row>
    <row r="28" customFormat="false" ht="15" hidden="false" customHeight="false" outlineLevel="0" collapsed="false">
      <c r="A28" s="10" t="s">
        <v>34</v>
      </c>
      <c r="B28" s="16" t="s">
        <v>26</v>
      </c>
      <c r="C28" s="16" t="s">
        <v>24</v>
      </c>
      <c r="D28" s="28" t="n">
        <v>97.55</v>
      </c>
      <c r="E28" s="28" t="n">
        <v>95.5</v>
      </c>
      <c r="F28" s="22" t="n">
        <f aca="false">IF(AND(ISNUMBER(D28),ISNUMBER(E28)),IF(D28+E28&gt;0,2*D28*E28/(D28+E28),0),"-")</f>
        <v>96.5141155141155</v>
      </c>
      <c r="G28" s="17" t="s">
        <v>36</v>
      </c>
      <c r="H28" s="28" t="n">
        <v>0</v>
      </c>
      <c r="I28" s="22" t="str">
        <f aca="false">IF(AND(ISNUMBER(G28),ISNUMBER(H28)),IF(G28+H28&gt;0,2*G28*H28/(G28+H28),0),"-")</f>
        <v>-</v>
      </c>
      <c r="J28" s="17" t="s">
        <v>36</v>
      </c>
      <c r="K28" s="28" t="n">
        <v>0</v>
      </c>
      <c r="L28" s="22" t="str">
        <f aca="false">IF(AND(ISNUMBER(J28),ISNUMBER(K28)),IF(J28+K28&gt;0,2*J28*K28/(J28+K28),0),"-")</f>
        <v>-</v>
      </c>
      <c r="M28" s="31" t="n">
        <v>1119211</v>
      </c>
      <c r="N28" s="31" t="n">
        <v>0</v>
      </c>
      <c r="O28" s="31" t="n">
        <v>0</v>
      </c>
      <c r="P28" s="31" t="n">
        <v>23</v>
      </c>
    </row>
    <row r="29" customFormat="false" ht="15" hidden="false" customHeight="false" outlineLevel="0" collapsed="false">
      <c r="A29" s="10" t="s">
        <v>34</v>
      </c>
      <c r="B29" s="17" t="s">
        <v>27</v>
      </c>
      <c r="C29" s="17" t="s">
        <v>28</v>
      </c>
      <c r="D29" s="28" t="n">
        <v>97.55</v>
      </c>
      <c r="E29" s="28" t="n">
        <v>95.48</v>
      </c>
      <c r="F29" s="22" t="n">
        <f aca="false">IF(AND(ISNUMBER(D29),ISNUMBER(E29)),IF(D29+E29&gt;0,2*D29*E29/(D29+E29),0),"-")</f>
        <v>96.5039009480392</v>
      </c>
      <c r="G29" s="17" t="s">
        <v>36</v>
      </c>
      <c r="H29" s="28" t="n">
        <v>0</v>
      </c>
      <c r="I29" s="22" t="str">
        <f aca="false">IF(AND(ISNUMBER(G29),ISNUMBER(H29)),IF(G29+H29&gt;0,2*G29*H29/(G29+H29),0),"-")</f>
        <v>-</v>
      </c>
      <c r="J29" s="17" t="s">
        <v>36</v>
      </c>
      <c r="K29" s="28" t="n">
        <v>0</v>
      </c>
      <c r="L29" s="22" t="str">
        <f aca="false">IF(AND(ISNUMBER(J29),ISNUMBER(K29)),IF(J29+K29&gt;0,2*J29*K29/(J29+K29),0),"-")</f>
        <v>-</v>
      </c>
      <c r="M29" s="31" t="n">
        <v>1119211</v>
      </c>
      <c r="N29" s="31" t="n">
        <v>0</v>
      </c>
      <c r="O29" s="31" t="n">
        <v>0</v>
      </c>
      <c r="P29" s="31" t="n">
        <v>23</v>
      </c>
    </row>
    <row r="30" customFormat="false" ht="15" hidden="false" customHeight="false" outlineLevel="0" collapsed="false">
      <c r="A30" s="10" t="s">
        <v>34</v>
      </c>
      <c r="B30" s="11" t="s">
        <v>29</v>
      </c>
      <c r="C30" s="11" t="s">
        <v>28</v>
      </c>
      <c r="D30" s="28" t="n">
        <v>97.56</v>
      </c>
      <c r="E30" s="28" t="n">
        <v>95.43</v>
      </c>
      <c r="F30" s="22" t="n">
        <f aca="false">IF(AND(ISNUMBER(D30),ISNUMBER(E30)),IF(D30+E30&gt;0,2*D30*E30/(D30+E30),0),"-")</f>
        <v>96.4832457640292</v>
      </c>
      <c r="G30" s="17" t="s">
        <v>36</v>
      </c>
      <c r="H30" s="28" t="n">
        <v>0</v>
      </c>
      <c r="I30" s="22" t="str">
        <f aca="false">IF(AND(ISNUMBER(G30),ISNUMBER(H30)),IF(G30+H30&gt;0,2*G30*H30/(G30+H30),0),"-")</f>
        <v>-</v>
      </c>
      <c r="J30" s="17" t="s">
        <v>36</v>
      </c>
      <c r="K30" s="28" t="n">
        <v>0</v>
      </c>
      <c r="L30" s="22" t="str">
        <f aca="false">IF(AND(ISNUMBER(J30),ISNUMBER(K30)),IF(J30+K30&gt;0,2*J30*K30/(J30+K30),0),"-")</f>
        <v>-</v>
      </c>
      <c r="M30" s="31" t="n">
        <v>1119211</v>
      </c>
      <c r="N30" s="31" t="n">
        <v>0</v>
      </c>
      <c r="O30" s="31" t="n">
        <v>0</v>
      </c>
      <c r="P30" s="31" t="n">
        <v>23</v>
      </c>
    </row>
    <row r="31" customFormat="false" ht="15" hidden="false" customHeight="false" outlineLevel="0" collapsed="false">
      <c r="A31" s="10" t="s">
        <v>34</v>
      </c>
      <c r="B31" s="16" t="s">
        <v>30</v>
      </c>
      <c r="C31" s="16" t="s">
        <v>28</v>
      </c>
      <c r="D31" s="28" t="n">
        <v>97.55</v>
      </c>
      <c r="E31" s="28" t="n">
        <v>95.48</v>
      </c>
      <c r="F31" s="22" t="n">
        <f aca="false">IF(AND(ISNUMBER(D31),ISNUMBER(E31)),IF(D31+E31&gt;0,2*D31*E31/(D31+E31),0),"-")</f>
        <v>96.5039009480392</v>
      </c>
      <c r="G31" s="17" t="s">
        <v>36</v>
      </c>
      <c r="H31" s="28" t="n">
        <v>0</v>
      </c>
      <c r="I31" s="22" t="str">
        <f aca="false">IF(AND(ISNUMBER(G31),ISNUMBER(H31)),IF(G31+H31&gt;0,2*G31*H31/(G31+H31),0),"-")</f>
        <v>-</v>
      </c>
      <c r="J31" s="17" t="s">
        <v>36</v>
      </c>
      <c r="K31" s="28" t="n">
        <v>0</v>
      </c>
      <c r="L31" s="22" t="str">
        <f aca="false">IF(AND(ISNUMBER(J31),ISNUMBER(K31)),IF(J31+K31&gt;0,2*J31*K31/(J31+K31),0),"-")</f>
        <v>-</v>
      </c>
      <c r="M31" s="31" t="n">
        <v>1119211</v>
      </c>
      <c r="N31" s="31" t="n">
        <v>0</v>
      </c>
      <c r="O31" s="31" t="n">
        <v>0</v>
      </c>
      <c r="P31" s="31" t="n">
        <v>23</v>
      </c>
    </row>
    <row r="32" customFormat="false" ht="15" hidden="false" customHeight="false" outlineLevel="0" collapsed="false">
      <c r="A32" s="4" t="s">
        <v>87</v>
      </c>
      <c r="B32" s="5" t="s">
        <v>19</v>
      </c>
      <c r="C32" s="5" t="s">
        <v>20</v>
      </c>
      <c r="D32" s="29" t="n">
        <v>97.62</v>
      </c>
      <c r="E32" s="29" t="n">
        <v>91.63</v>
      </c>
      <c r="F32" s="20" t="n">
        <f aca="false">IF(AND(ISNUMBER(D32),ISNUMBER(E32)),IF(D32+E32&gt;0,2*D32*E32/(D32+E32),0),"-")</f>
        <v>94.5302044914135</v>
      </c>
      <c r="G32" s="29" t="n">
        <v>88.9</v>
      </c>
      <c r="H32" s="29" t="n">
        <v>91.16</v>
      </c>
      <c r="I32" s="20" t="n">
        <f aca="false">IF(AND(ISNUMBER(G32),ISNUMBER(H32)),IF(G32+H32&gt;0,2*G32*H32/(G32+H32),0),"-")</f>
        <v>90.0158169499056</v>
      </c>
      <c r="J32" s="29" t="n">
        <v>86.63</v>
      </c>
      <c r="K32" s="29" t="n">
        <v>39.66</v>
      </c>
      <c r="L32" s="20" t="n">
        <f aca="false">IF(AND(ISNUMBER(J32),ISNUMBER(K32)),IF(J32+K32&gt;0,2*J32*K32/(J32+K32),0),"-")</f>
        <v>54.4104172935308</v>
      </c>
      <c r="M32" s="30" t="n">
        <v>21462</v>
      </c>
      <c r="N32" s="30" t="n">
        <v>2262</v>
      </c>
      <c r="O32" s="30" t="n">
        <v>516</v>
      </c>
      <c r="P32" s="30" t="n">
        <v>12</v>
      </c>
    </row>
    <row r="33" customFormat="false" ht="15" hidden="false" customHeight="false" outlineLevel="0" collapsed="false">
      <c r="A33" s="10" t="s">
        <v>87</v>
      </c>
      <c r="B33" s="11" t="s">
        <v>21</v>
      </c>
      <c r="C33" s="11" t="s">
        <v>20</v>
      </c>
      <c r="D33" s="28" t="n">
        <v>97.48</v>
      </c>
      <c r="E33" s="28" t="n">
        <v>91.93</v>
      </c>
      <c r="F33" s="22" t="n">
        <f aca="false">IF(AND(ISNUMBER(D33),ISNUMBER(E33)),IF(D33+E33&gt;0,2*D33*E33/(D33+E33),0),"-")</f>
        <v>94.6236882952326</v>
      </c>
      <c r="G33" s="28" t="n">
        <v>88.64</v>
      </c>
      <c r="H33" s="28" t="n">
        <v>91.09</v>
      </c>
      <c r="I33" s="22" t="n">
        <f aca="false">IF(AND(ISNUMBER(G33),ISNUMBER(H33)),IF(G33+H33&gt;0,2*G33*H33/(G33+H33),0),"-")</f>
        <v>89.8483013409002</v>
      </c>
      <c r="J33" s="28" t="n">
        <v>85.27</v>
      </c>
      <c r="K33" s="28" t="n">
        <v>45.08</v>
      </c>
      <c r="L33" s="22" t="n">
        <f aca="false">IF(AND(ISNUMBER(J33),ISNUMBER(K33)),IF(J33+K33&gt;0,2*J33*K33/(J33+K33),0),"-")</f>
        <v>58.9792343690065</v>
      </c>
      <c r="M33" s="31" t="n">
        <v>21462</v>
      </c>
      <c r="N33" s="31" t="n">
        <v>2262</v>
      </c>
      <c r="O33" s="31" t="n">
        <v>516</v>
      </c>
      <c r="P33" s="31" t="n">
        <v>12</v>
      </c>
    </row>
    <row r="34" customFormat="false" ht="15" hidden="false" customHeight="false" outlineLevel="0" collapsed="false">
      <c r="A34" s="10" t="s">
        <v>87</v>
      </c>
      <c r="B34" s="16" t="s">
        <v>22</v>
      </c>
      <c r="C34" s="16" t="s">
        <v>20</v>
      </c>
      <c r="D34" s="28" t="n">
        <v>97.48</v>
      </c>
      <c r="E34" s="28" t="n">
        <v>91.93</v>
      </c>
      <c r="F34" s="22" t="n">
        <f aca="false">IF(AND(ISNUMBER(D34),ISNUMBER(E34)),IF(D34+E34&gt;0,2*D34*E34/(D34+E34),0),"-")</f>
        <v>94.6236882952326</v>
      </c>
      <c r="G34" s="28" t="n">
        <v>88.64</v>
      </c>
      <c r="H34" s="28" t="n">
        <v>91.09</v>
      </c>
      <c r="I34" s="22" t="n">
        <f aca="false">IF(AND(ISNUMBER(G34),ISNUMBER(H34)),IF(G34+H34&gt;0,2*G34*H34/(G34+H34),0),"-")</f>
        <v>89.8483013409002</v>
      </c>
      <c r="J34" s="28" t="n">
        <v>85.27</v>
      </c>
      <c r="K34" s="28" t="n">
        <v>45.08</v>
      </c>
      <c r="L34" s="22" t="n">
        <f aca="false">IF(AND(ISNUMBER(J34),ISNUMBER(K34)),IF(J34+K34&gt;0,2*J34*K34/(J34+K34),0),"-")</f>
        <v>58.9792343690065</v>
      </c>
      <c r="M34" s="31" t="n">
        <v>21462</v>
      </c>
      <c r="N34" s="31" t="n">
        <v>2262</v>
      </c>
      <c r="O34" s="31" t="n">
        <v>516</v>
      </c>
      <c r="P34" s="31" t="n">
        <v>12</v>
      </c>
    </row>
    <row r="35" customFormat="false" ht="15" hidden="false" customHeight="false" outlineLevel="0" collapsed="false">
      <c r="A35" s="10" t="s">
        <v>87</v>
      </c>
      <c r="B35" s="17" t="s">
        <v>23</v>
      </c>
      <c r="C35" s="17" t="s">
        <v>24</v>
      </c>
      <c r="D35" s="28" t="n">
        <v>95.25</v>
      </c>
      <c r="E35" s="28" t="n">
        <v>93.07</v>
      </c>
      <c r="F35" s="22" t="n">
        <f aca="false">IF(AND(ISNUMBER(D35),ISNUMBER(E35)),IF(D35+E35&gt;0,2*D35*E35/(D35+E35),0),"-")</f>
        <v>94.147382115548</v>
      </c>
      <c r="G35" s="28" t="n">
        <v>90.19</v>
      </c>
      <c r="H35" s="28" t="n">
        <v>90.55</v>
      </c>
      <c r="I35" s="22" t="n">
        <f aca="false">IF(AND(ISNUMBER(G35),ISNUMBER(H35)),IF(G35+H35&gt;0,2*G35*H35/(G35+H35),0),"-")</f>
        <v>90.3696414739405</v>
      </c>
      <c r="J35" s="28" t="n">
        <v>82.56</v>
      </c>
      <c r="K35" s="28" t="n">
        <v>40.84</v>
      </c>
      <c r="L35" s="22" t="n">
        <f aca="false">IF(AND(ISNUMBER(J35),ISNUMBER(K35)),IF(J35+K35&gt;0,2*J35*K35/(J35+K35),0),"-")</f>
        <v>54.6474943273906</v>
      </c>
      <c r="M35" s="31" t="n">
        <v>21462</v>
      </c>
      <c r="N35" s="31" t="n">
        <v>2262</v>
      </c>
      <c r="O35" s="31" t="n">
        <v>516</v>
      </c>
      <c r="P35" s="31" t="n">
        <v>12</v>
      </c>
    </row>
    <row r="36" customFormat="false" ht="15" hidden="false" customHeight="false" outlineLevel="0" collapsed="false">
      <c r="A36" s="10" t="s">
        <v>87</v>
      </c>
      <c r="B36" s="11" t="s">
        <v>25</v>
      </c>
      <c r="C36" s="11" t="s">
        <v>24</v>
      </c>
      <c r="D36" s="28" t="n">
        <v>96.05</v>
      </c>
      <c r="E36" s="28" t="n">
        <v>91.82</v>
      </c>
      <c r="F36" s="22" t="n">
        <f aca="false">IF(AND(ISNUMBER(D36),ISNUMBER(E36)),IF(D36+E36&gt;0,2*D36*E36/(D36+E36),0),"-")</f>
        <v>93.8873795709799</v>
      </c>
      <c r="G36" s="28" t="n">
        <v>91.16</v>
      </c>
      <c r="H36" s="28" t="n">
        <v>82.32</v>
      </c>
      <c r="I36" s="22" t="n">
        <f aca="false">IF(AND(ISNUMBER(G36),ISNUMBER(H36)),IF(G36+H36&gt;0,2*G36*H36/(G36+H36),0),"-")</f>
        <v>86.5147705787411</v>
      </c>
      <c r="J36" s="28" t="n">
        <v>80.23</v>
      </c>
      <c r="K36" s="28" t="n">
        <v>37.2</v>
      </c>
      <c r="L36" s="22" t="n">
        <f aca="false">IF(AND(ISNUMBER(J36),ISNUMBER(K36)),IF(J36+K36&gt;0,2*J36*K36/(J36+K36),0),"-")</f>
        <v>50.8312356297369</v>
      </c>
      <c r="M36" s="31" t="n">
        <v>21462</v>
      </c>
      <c r="N36" s="31" t="n">
        <v>2262</v>
      </c>
      <c r="O36" s="31" t="n">
        <v>516</v>
      </c>
      <c r="P36" s="31" t="n">
        <v>12</v>
      </c>
    </row>
    <row r="37" customFormat="false" ht="15" hidden="false" customHeight="false" outlineLevel="0" collapsed="false">
      <c r="A37" s="10" t="s">
        <v>87</v>
      </c>
      <c r="B37" s="16" t="s">
        <v>26</v>
      </c>
      <c r="C37" s="16" t="s">
        <v>24</v>
      </c>
      <c r="D37" s="28" t="n">
        <v>95.25</v>
      </c>
      <c r="E37" s="28" t="n">
        <v>93.07</v>
      </c>
      <c r="F37" s="22" t="n">
        <f aca="false">IF(AND(ISNUMBER(D37),ISNUMBER(E37)),IF(D37+E37&gt;0,2*D37*E37/(D37+E37),0),"-")</f>
        <v>94.147382115548</v>
      </c>
      <c r="G37" s="28" t="n">
        <v>90.19</v>
      </c>
      <c r="H37" s="28" t="n">
        <v>90.55</v>
      </c>
      <c r="I37" s="22" t="n">
        <f aca="false">IF(AND(ISNUMBER(G37),ISNUMBER(H37)),IF(G37+H37&gt;0,2*G37*H37/(G37+H37),0),"-")</f>
        <v>90.3696414739405</v>
      </c>
      <c r="J37" s="28" t="n">
        <v>82.56</v>
      </c>
      <c r="K37" s="28" t="n">
        <v>40.84</v>
      </c>
      <c r="L37" s="22" t="n">
        <f aca="false">IF(AND(ISNUMBER(J37),ISNUMBER(K37)),IF(J37+K37&gt;0,2*J37*K37/(J37+K37),0),"-")</f>
        <v>54.6474943273906</v>
      </c>
      <c r="M37" s="31" t="n">
        <v>21462</v>
      </c>
      <c r="N37" s="31" t="n">
        <v>2262</v>
      </c>
      <c r="O37" s="31" t="n">
        <v>516</v>
      </c>
      <c r="P37" s="31" t="n">
        <v>12</v>
      </c>
    </row>
    <row r="38" customFormat="false" ht="15" hidden="false" customHeight="false" outlineLevel="0" collapsed="false">
      <c r="A38" s="10" t="s">
        <v>87</v>
      </c>
      <c r="B38" s="17" t="s">
        <v>27</v>
      </c>
      <c r="C38" s="17" t="s">
        <v>28</v>
      </c>
      <c r="D38" s="28" t="n">
        <v>95.59</v>
      </c>
      <c r="E38" s="28" t="n">
        <v>92.77</v>
      </c>
      <c r="F38" s="22" t="n">
        <f aca="false">IF(AND(ISNUMBER(D38),ISNUMBER(E38)),IF(D38+E38&gt;0,2*D38*E38/(D38+E38),0),"-")</f>
        <v>94.158890422595</v>
      </c>
      <c r="G38" s="28" t="n">
        <v>89.83</v>
      </c>
      <c r="H38" s="28" t="n">
        <v>87.44</v>
      </c>
      <c r="I38" s="22" t="n">
        <f aca="false">IF(AND(ISNUMBER(G38),ISNUMBER(H38)),IF(G38+H38&gt;0,2*G38*H38/(G38+H38),0),"-")</f>
        <v>88.6188887008518</v>
      </c>
      <c r="J38" s="28" t="n">
        <v>80.62</v>
      </c>
      <c r="K38" s="28" t="n">
        <v>42.45</v>
      </c>
      <c r="L38" s="22" t="n">
        <f aca="false">IF(AND(ISNUMBER(J38),ISNUMBER(K38)),IF(J38+K38&gt;0,2*J38*K38/(J38+K38),0),"-")</f>
        <v>55.6158121394329</v>
      </c>
      <c r="M38" s="31" t="n">
        <v>21462</v>
      </c>
      <c r="N38" s="31" t="n">
        <v>2262</v>
      </c>
      <c r="O38" s="31" t="n">
        <v>516</v>
      </c>
      <c r="P38" s="31" t="n">
        <v>12</v>
      </c>
    </row>
    <row r="39" customFormat="false" ht="15" hidden="false" customHeight="false" outlineLevel="0" collapsed="false">
      <c r="A39" s="10" t="s">
        <v>87</v>
      </c>
      <c r="B39" s="11" t="s">
        <v>29</v>
      </c>
      <c r="C39" s="11" t="s">
        <v>28</v>
      </c>
      <c r="D39" s="28" t="n">
        <v>96.99</v>
      </c>
      <c r="E39" s="28" t="n">
        <v>90.19</v>
      </c>
      <c r="F39" s="22" t="n">
        <f aca="false">IF(AND(ISNUMBER(D39),ISNUMBER(E39)),IF(D39+E39&gt;0,2*D39*E39/(D39+E39),0),"-")</f>
        <v>93.4664825301848</v>
      </c>
      <c r="G39" s="28" t="n">
        <v>89.04</v>
      </c>
      <c r="H39" s="28" t="n">
        <v>80.53</v>
      </c>
      <c r="I39" s="22" t="n">
        <f aca="false">IF(AND(ISNUMBER(G39),ISNUMBER(H39)),IF(G39+H39&gt;0,2*G39*H39/(G39+H39),0),"-")</f>
        <v>84.5714595742172</v>
      </c>
      <c r="J39" s="28" t="n">
        <v>80.43</v>
      </c>
      <c r="K39" s="28" t="n">
        <v>23.42</v>
      </c>
      <c r="L39" s="22" t="n">
        <f aca="false">IF(AND(ISNUMBER(J39),ISNUMBER(K39)),IF(J39+K39&gt;0,2*J39*K39/(J39+K39),0),"-")</f>
        <v>36.276756860857</v>
      </c>
      <c r="M39" s="31" t="n">
        <v>21462</v>
      </c>
      <c r="N39" s="31" t="n">
        <v>2262</v>
      </c>
      <c r="O39" s="31" t="n">
        <v>516</v>
      </c>
      <c r="P39" s="31" t="n">
        <v>12</v>
      </c>
    </row>
    <row r="40" customFormat="false" ht="15" hidden="false" customHeight="false" outlineLevel="0" collapsed="false">
      <c r="A40" s="10" t="s">
        <v>87</v>
      </c>
      <c r="B40" s="16" t="s">
        <v>30</v>
      </c>
      <c r="C40" s="16" t="s">
        <v>28</v>
      </c>
      <c r="D40" s="28" t="n">
        <v>95.59</v>
      </c>
      <c r="E40" s="28" t="n">
        <v>92.77</v>
      </c>
      <c r="F40" s="22" t="n">
        <f aca="false">IF(AND(ISNUMBER(D40),ISNUMBER(E40)),IF(D40+E40&gt;0,2*D40*E40/(D40+E40),0),"-")</f>
        <v>94.158890422595</v>
      </c>
      <c r="G40" s="28" t="n">
        <v>89.83</v>
      </c>
      <c r="H40" s="28" t="n">
        <v>87.44</v>
      </c>
      <c r="I40" s="22" t="n">
        <f aca="false">IF(AND(ISNUMBER(G40),ISNUMBER(H40)),IF(G40+H40&gt;0,2*G40*H40/(G40+H40),0),"-")</f>
        <v>88.6188887008518</v>
      </c>
      <c r="J40" s="28" t="n">
        <v>80.62</v>
      </c>
      <c r="K40" s="28" t="n">
        <v>42.45</v>
      </c>
      <c r="L40" s="22" t="n">
        <f aca="false">IF(AND(ISNUMBER(J40),ISNUMBER(K40)),IF(J40+K40&gt;0,2*J40*K40/(J40+K40),0),"-")</f>
        <v>55.6158121394329</v>
      </c>
      <c r="M40" s="31" t="n">
        <v>21462</v>
      </c>
      <c r="N40" s="31" t="n">
        <v>2262</v>
      </c>
      <c r="O40" s="31" t="n">
        <v>516</v>
      </c>
      <c r="P40" s="31" t="n">
        <v>12</v>
      </c>
    </row>
    <row r="41" customFormat="false" ht="15" hidden="false" customHeight="false" outlineLevel="0" collapsed="false">
      <c r="A41" s="4" t="s">
        <v>88</v>
      </c>
      <c r="B41" s="5" t="s">
        <v>19</v>
      </c>
      <c r="C41" s="5" t="s">
        <v>20</v>
      </c>
      <c r="D41" s="29" t="n">
        <v>99.89</v>
      </c>
      <c r="E41" s="29" t="n">
        <v>99.87</v>
      </c>
      <c r="F41" s="20" t="n">
        <f aca="false">IF(AND(ISNUMBER(D41),ISNUMBER(E41)),IF(D41+E41&gt;0,2*D41*E41/(D41+E41),0),"-")</f>
        <v>99.8799989987986</v>
      </c>
      <c r="G41" s="29" t="n">
        <v>87.56</v>
      </c>
      <c r="H41" s="29" t="n">
        <v>97.39</v>
      </c>
      <c r="I41" s="20" t="n">
        <f aca="false">IF(AND(ISNUMBER(G41),ISNUMBER(H41)),IF(G41+H41&gt;0,2*G41*H41/(G41+H41),0),"-")</f>
        <v>92.2137702081644</v>
      </c>
      <c r="J41" s="5" t="s">
        <v>36</v>
      </c>
      <c r="K41" s="29" t="n">
        <v>0</v>
      </c>
      <c r="L41" s="20" t="str">
        <f aca="false">IF(AND(ISNUMBER(J41),ISNUMBER(K41)),IF(J41+K41&gt;0,2*J41*K41/(J41+K41),0),"-")</f>
        <v>-</v>
      </c>
      <c r="M41" s="30" t="n">
        <v>179010</v>
      </c>
      <c r="N41" s="30" t="n">
        <v>16496</v>
      </c>
      <c r="O41" s="30" t="n">
        <v>0</v>
      </c>
      <c r="P41" s="30" t="n">
        <v>79</v>
      </c>
    </row>
    <row r="42" customFormat="false" ht="15" hidden="false" customHeight="false" outlineLevel="0" collapsed="false">
      <c r="A42" s="10" t="s">
        <v>88</v>
      </c>
      <c r="B42" s="11" t="s">
        <v>21</v>
      </c>
      <c r="C42" s="11" t="s">
        <v>20</v>
      </c>
      <c r="D42" s="28" t="n">
        <v>99.89</v>
      </c>
      <c r="E42" s="28" t="n">
        <v>99.82</v>
      </c>
      <c r="F42" s="22" t="n">
        <f aca="false">IF(AND(ISNUMBER(D42),ISNUMBER(E42)),IF(D42+E42&gt;0,2*D42*E42/(D42+E42),0),"-")</f>
        <v>99.8549877322117</v>
      </c>
      <c r="G42" s="28" t="n">
        <v>89.21</v>
      </c>
      <c r="H42" s="28" t="n">
        <v>97.63</v>
      </c>
      <c r="I42" s="22" t="n">
        <f aca="false">IF(AND(ISNUMBER(G42),ISNUMBER(H42)),IF(G42+H42&gt;0,2*G42*H42/(G42+H42),0),"-")</f>
        <v>93.2302751016913</v>
      </c>
      <c r="J42" s="17" t="s">
        <v>36</v>
      </c>
      <c r="K42" s="28" t="n">
        <v>0</v>
      </c>
      <c r="L42" s="22" t="str">
        <f aca="false">IF(AND(ISNUMBER(J42),ISNUMBER(K42)),IF(J42+K42&gt;0,2*J42*K42/(J42+K42),0),"-")</f>
        <v>-</v>
      </c>
      <c r="M42" s="31" t="n">
        <v>179010</v>
      </c>
      <c r="N42" s="31" t="n">
        <v>16496</v>
      </c>
      <c r="O42" s="31" t="n">
        <v>0</v>
      </c>
      <c r="P42" s="31" t="n">
        <v>79</v>
      </c>
    </row>
    <row r="43" customFormat="false" ht="15" hidden="false" customHeight="false" outlineLevel="0" collapsed="false">
      <c r="A43" s="10" t="s">
        <v>88</v>
      </c>
      <c r="B43" s="16" t="s">
        <v>22</v>
      </c>
      <c r="C43" s="16" t="s">
        <v>20</v>
      </c>
      <c r="D43" s="28" t="n">
        <v>99.89</v>
      </c>
      <c r="E43" s="28" t="n">
        <v>99.82</v>
      </c>
      <c r="F43" s="22" t="n">
        <f aca="false">IF(AND(ISNUMBER(D43),ISNUMBER(E43)),IF(D43+E43&gt;0,2*D43*E43/(D43+E43),0),"-")</f>
        <v>99.8549877322117</v>
      </c>
      <c r="G43" s="28" t="n">
        <v>89.21</v>
      </c>
      <c r="H43" s="28" t="n">
        <v>97.63</v>
      </c>
      <c r="I43" s="22" t="n">
        <f aca="false">IF(AND(ISNUMBER(G43),ISNUMBER(H43)),IF(G43+H43&gt;0,2*G43*H43/(G43+H43),0),"-")</f>
        <v>93.2302751016913</v>
      </c>
      <c r="J43" s="17" t="s">
        <v>36</v>
      </c>
      <c r="K43" s="28" t="n">
        <v>0</v>
      </c>
      <c r="L43" s="22" t="str">
        <f aca="false">IF(AND(ISNUMBER(J43),ISNUMBER(K43)),IF(J43+K43&gt;0,2*J43*K43/(J43+K43),0),"-")</f>
        <v>-</v>
      </c>
      <c r="M43" s="31" t="n">
        <v>179010</v>
      </c>
      <c r="N43" s="31" t="n">
        <v>16496</v>
      </c>
      <c r="O43" s="31" t="n">
        <v>0</v>
      </c>
      <c r="P43" s="31" t="n">
        <v>79</v>
      </c>
    </row>
    <row r="44" customFormat="false" ht="15" hidden="false" customHeight="false" outlineLevel="0" collapsed="false">
      <c r="A44" s="10" t="s">
        <v>88</v>
      </c>
      <c r="B44" s="17" t="s">
        <v>23</v>
      </c>
      <c r="C44" s="17" t="s">
        <v>24</v>
      </c>
      <c r="D44" s="28" t="n">
        <v>99.77</v>
      </c>
      <c r="E44" s="28" t="n">
        <v>99.72</v>
      </c>
      <c r="F44" s="22" t="n">
        <f aca="false">IF(AND(ISNUMBER(D44),ISNUMBER(E44)),IF(D44+E44&gt;0,2*D44*E44/(D44+E44),0),"-")</f>
        <v>99.7449937340218</v>
      </c>
      <c r="G44" s="28" t="n">
        <v>89.67</v>
      </c>
      <c r="H44" s="28" t="n">
        <v>99.18</v>
      </c>
      <c r="I44" s="22" t="n">
        <f aca="false">IF(AND(ISNUMBER(G44),ISNUMBER(H44)),IF(G44+H44&gt;0,2*G44*H44/(G44+H44),0),"-")</f>
        <v>94.1855504368546</v>
      </c>
      <c r="J44" s="17" t="s">
        <v>36</v>
      </c>
      <c r="K44" s="28" t="n">
        <v>0</v>
      </c>
      <c r="L44" s="22" t="str">
        <f aca="false">IF(AND(ISNUMBER(J44),ISNUMBER(K44)),IF(J44+K44&gt;0,2*J44*K44/(J44+K44),0),"-")</f>
        <v>-</v>
      </c>
      <c r="M44" s="31" t="n">
        <v>179010</v>
      </c>
      <c r="N44" s="31" t="n">
        <v>16496</v>
      </c>
      <c r="O44" s="31" t="n">
        <v>0</v>
      </c>
      <c r="P44" s="31" t="n">
        <v>79</v>
      </c>
    </row>
    <row r="45" customFormat="false" ht="15" hidden="false" customHeight="false" outlineLevel="0" collapsed="false">
      <c r="A45" s="10" t="s">
        <v>88</v>
      </c>
      <c r="B45" s="11" t="s">
        <v>25</v>
      </c>
      <c r="C45" s="11" t="s">
        <v>24</v>
      </c>
      <c r="D45" s="28" t="n">
        <v>99.79</v>
      </c>
      <c r="E45" s="28" t="n">
        <v>99.69</v>
      </c>
      <c r="F45" s="22" t="n">
        <f aca="false">IF(AND(ISNUMBER(D45),ISNUMBER(E45)),IF(D45+E45&gt;0,2*D45*E45/(D45+E45),0),"-")</f>
        <v>99.7399749348305</v>
      </c>
      <c r="G45" s="28" t="n">
        <v>94.94</v>
      </c>
      <c r="H45" s="28" t="n">
        <v>83.88</v>
      </c>
      <c r="I45" s="22" t="n">
        <f aca="false">IF(AND(ISNUMBER(G45),ISNUMBER(H45)),IF(G45+H45&gt;0,2*G45*H45/(G45+H45),0),"-")</f>
        <v>89.0679700257242</v>
      </c>
      <c r="J45" s="17" t="s">
        <v>36</v>
      </c>
      <c r="K45" s="28" t="n">
        <v>0</v>
      </c>
      <c r="L45" s="22" t="str">
        <f aca="false">IF(AND(ISNUMBER(J45),ISNUMBER(K45)),IF(J45+K45&gt;0,2*J45*K45/(J45+K45),0),"-")</f>
        <v>-</v>
      </c>
      <c r="M45" s="31" t="n">
        <v>179010</v>
      </c>
      <c r="N45" s="31" t="n">
        <v>16496</v>
      </c>
      <c r="O45" s="31" t="n">
        <v>0</v>
      </c>
      <c r="P45" s="31" t="n">
        <v>79</v>
      </c>
    </row>
    <row r="46" customFormat="false" ht="15" hidden="false" customHeight="false" outlineLevel="0" collapsed="false">
      <c r="A46" s="10" t="s">
        <v>88</v>
      </c>
      <c r="B46" s="16" t="s">
        <v>26</v>
      </c>
      <c r="C46" s="16" t="s">
        <v>24</v>
      </c>
      <c r="D46" s="28" t="n">
        <v>99.77</v>
      </c>
      <c r="E46" s="28" t="n">
        <v>99.72</v>
      </c>
      <c r="F46" s="22" t="n">
        <f aca="false">IF(AND(ISNUMBER(D46),ISNUMBER(E46)),IF(D46+E46&gt;0,2*D46*E46/(D46+E46),0),"-")</f>
        <v>99.7449937340218</v>
      </c>
      <c r="G46" s="28" t="n">
        <v>89.67</v>
      </c>
      <c r="H46" s="28" t="n">
        <v>99.18</v>
      </c>
      <c r="I46" s="22" t="n">
        <f aca="false">IF(AND(ISNUMBER(G46),ISNUMBER(H46)),IF(G46+H46&gt;0,2*G46*H46/(G46+H46),0),"-")</f>
        <v>94.1855504368546</v>
      </c>
      <c r="J46" s="17" t="s">
        <v>36</v>
      </c>
      <c r="K46" s="28" t="n">
        <v>0</v>
      </c>
      <c r="L46" s="22" t="str">
        <f aca="false">IF(AND(ISNUMBER(J46),ISNUMBER(K46)),IF(J46+K46&gt;0,2*J46*K46/(J46+K46),0),"-")</f>
        <v>-</v>
      </c>
      <c r="M46" s="31" t="n">
        <v>179010</v>
      </c>
      <c r="N46" s="31" t="n">
        <v>16496</v>
      </c>
      <c r="O46" s="31" t="n">
        <v>0</v>
      </c>
      <c r="P46" s="31" t="n">
        <v>79</v>
      </c>
    </row>
    <row r="47" customFormat="false" ht="15" hidden="false" customHeight="false" outlineLevel="0" collapsed="false">
      <c r="A47" s="10" t="s">
        <v>88</v>
      </c>
      <c r="B47" s="17" t="s">
        <v>27</v>
      </c>
      <c r="C47" s="17" t="s">
        <v>28</v>
      </c>
      <c r="D47" s="28" t="n">
        <v>99.64</v>
      </c>
      <c r="E47" s="28" t="n">
        <v>99.88</v>
      </c>
      <c r="F47" s="22" t="n">
        <f aca="false">IF(AND(ISNUMBER(D47),ISNUMBER(E47)),IF(D47+E47&gt;0,2*D47*E47/(D47+E47),0),"-")</f>
        <v>99.7598556535686</v>
      </c>
      <c r="G47" s="28" t="n">
        <v>81.7</v>
      </c>
      <c r="H47" s="28" t="n">
        <v>97.56</v>
      </c>
      <c r="I47" s="22" t="n">
        <f aca="false">IF(AND(ISNUMBER(G47),ISNUMBER(H47)),IF(G47+H47&gt;0,2*G47*H47/(G47+H47),0),"-")</f>
        <v>88.9283945107665</v>
      </c>
      <c r="J47" s="17" t="s">
        <v>36</v>
      </c>
      <c r="K47" s="28" t="n">
        <v>0</v>
      </c>
      <c r="L47" s="22" t="str">
        <f aca="false">IF(AND(ISNUMBER(J47),ISNUMBER(K47)),IF(J47+K47&gt;0,2*J47*K47/(J47+K47),0),"-")</f>
        <v>-</v>
      </c>
      <c r="M47" s="31" t="n">
        <v>179010</v>
      </c>
      <c r="N47" s="31" t="n">
        <v>16496</v>
      </c>
      <c r="O47" s="31" t="n">
        <v>0</v>
      </c>
      <c r="P47" s="31" t="n">
        <v>79</v>
      </c>
    </row>
    <row r="48" customFormat="false" ht="15" hidden="false" customHeight="false" outlineLevel="0" collapsed="false">
      <c r="A48" s="10" t="s">
        <v>88</v>
      </c>
      <c r="B48" s="11" t="s">
        <v>29</v>
      </c>
      <c r="C48" s="11" t="s">
        <v>28</v>
      </c>
      <c r="D48" s="28" t="n">
        <v>99.66</v>
      </c>
      <c r="E48" s="28" t="n">
        <v>99.81</v>
      </c>
      <c r="F48" s="22" t="n">
        <f aca="false">IF(AND(ISNUMBER(D48),ISNUMBER(E48)),IF(D48+E48&gt;0,2*D48*E48/(D48+E48),0),"-")</f>
        <v>99.7349436005414</v>
      </c>
      <c r="G48" s="28" t="n">
        <v>83.29</v>
      </c>
      <c r="H48" s="28" t="n">
        <v>97.84</v>
      </c>
      <c r="I48" s="22" t="n">
        <f aca="false">IF(AND(ISNUMBER(G48),ISNUMBER(H48)),IF(G48+H48&gt;0,2*G48*H48/(G48+H48),0),"-")</f>
        <v>89.980606194446</v>
      </c>
      <c r="J48" s="17" t="s">
        <v>36</v>
      </c>
      <c r="K48" s="28" t="n">
        <v>0</v>
      </c>
      <c r="L48" s="22" t="str">
        <f aca="false">IF(AND(ISNUMBER(J48),ISNUMBER(K48)),IF(J48+K48&gt;0,2*J48*K48/(J48+K48),0),"-")</f>
        <v>-</v>
      </c>
      <c r="M48" s="31" t="n">
        <v>179010</v>
      </c>
      <c r="N48" s="31" t="n">
        <v>16496</v>
      </c>
      <c r="O48" s="31" t="n">
        <v>0</v>
      </c>
      <c r="P48" s="31" t="n">
        <v>79</v>
      </c>
    </row>
    <row r="49" customFormat="false" ht="15" hidden="false" customHeight="false" outlineLevel="0" collapsed="false">
      <c r="A49" s="10" t="s">
        <v>88</v>
      </c>
      <c r="B49" s="16" t="s">
        <v>30</v>
      </c>
      <c r="C49" s="16" t="s">
        <v>28</v>
      </c>
      <c r="D49" s="28" t="n">
        <v>99.64</v>
      </c>
      <c r="E49" s="28" t="n">
        <v>99.88</v>
      </c>
      <c r="F49" s="22" t="n">
        <f aca="false">IF(AND(ISNUMBER(D49),ISNUMBER(E49)),IF(D49+E49&gt;0,2*D49*E49/(D49+E49),0),"-")</f>
        <v>99.7598556535686</v>
      </c>
      <c r="G49" s="28" t="n">
        <v>81.7</v>
      </c>
      <c r="H49" s="28" t="n">
        <v>97.56</v>
      </c>
      <c r="I49" s="22" t="n">
        <f aca="false">IF(AND(ISNUMBER(G49),ISNUMBER(H49)),IF(G49+H49&gt;0,2*G49*H49/(G49+H49),0),"-")</f>
        <v>88.9283945107665</v>
      </c>
      <c r="J49" s="17" t="s">
        <v>36</v>
      </c>
      <c r="K49" s="28" t="n">
        <v>0</v>
      </c>
      <c r="L49" s="22" t="str">
        <f aca="false">IF(AND(ISNUMBER(J49),ISNUMBER(K49)),IF(J49+K49&gt;0,2*J49*K49/(J49+K49),0),"-")</f>
        <v>-</v>
      </c>
      <c r="M49" s="31" t="n">
        <v>179010</v>
      </c>
      <c r="N49" s="31" t="n">
        <v>16496</v>
      </c>
      <c r="O49" s="31" t="n">
        <v>0</v>
      </c>
      <c r="P49" s="31" t="n">
        <v>79</v>
      </c>
    </row>
  </sheetData>
  <mergeCells count="1">
    <mergeCell ref="A2:P2"/>
  </mergeCells>
  <conditionalFormatting sqref="F5:F13">
    <cfRule type="expression" priority="2" aboveAverage="0" equalAverage="0" bottom="0" percent="0" rank="0" text="" dxfId="0">
      <formula>AND(ISNUMBER(F5),F5=MAX($F$5:$F$13))</formula>
    </cfRule>
  </conditionalFormatting>
  <conditionalFormatting sqref="I5:I13">
    <cfRule type="expression" priority="3" aboveAverage="0" equalAverage="0" bottom="0" percent="0" rank="0" text="" dxfId="0">
      <formula>AND(ISNUMBER(I5),I5=MAX($I$5:$I$13))</formula>
    </cfRule>
  </conditionalFormatting>
  <conditionalFormatting sqref="L5:L13">
    <cfRule type="expression" priority="4" aboveAverage="0" equalAverage="0" bottom="0" percent="0" rank="0" text="" dxfId="0">
      <formula>AND(ISNUMBER(L5),L5=MAX($L$5:$L$13))</formula>
    </cfRule>
  </conditionalFormatting>
  <conditionalFormatting sqref="F14:F22">
    <cfRule type="expression" priority="5" aboveAverage="0" equalAverage="0" bottom="0" percent="0" rank="0" text="" dxfId="0">
      <formula>AND(ISNUMBER(F14),F14=MAX($F$14:$F$22))</formula>
    </cfRule>
  </conditionalFormatting>
  <conditionalFormatting sqref="I14:I22">
    <cfRule type="expression" priority="6" aboveAverage="0" equalAverage="0" bottom="0" percent="0" rank="0" text="" dxfId="0">
      <formula>AND(ISNUMBER(I14),I14=MAX($I$14:$I$22))</formula>
    </cfRule>
  </conditionalFormatting>
  <conditionalFormatting sqref="L14:L22">
    <cfRule type="expression" priority="7" aboveAverage="0" equalAverage="0" bottom="0" percent="0" rank="0" text="" dxfId="0">
      <formula>AND(ISNUMBER(L14),L14=MAX($L$14:$L$22))</formula>
    </cfRule>
  </conditionalFormatting>
  <conditionalFormatting sqref="F23:F31">
    <cfRule type="expression" priority="8" aboveAverage="0" equalAverage="0" bottom="0" percent="0" rank="0" text="" dxfId="0">
      <formula>AND(ISNUMBER(F23),F23=MAX($F$23:$F$31))</formula>
    </cfRule>
  </conditionalFormatting>
  <conditionalFormatting sqref="I23:I31">
    <cfRule type="expression" priority="9" aboveAverage="0" equalAverage="0" bottom="0" percent="0" rank="0" text="" dxfId="0">
      <formula>AND(ISNUMBER(I23),I23=MAX($I$23:$I$31))</formula>
    </cfRule>
  </conditionalFormatting>
  <conditionalFormatting sqref="L23:L31">
    <cfRule type="expression" priority="10" aboveAverage="0" equalAverage="0" bottom="0" percent="0" rank="0" text="" dxfId="0">
      <formula>AND(ISNUMBER(L23),L23=MAX($L$23:$L$31))</formula>
    </cfRule>
  </conditionalFormatting>
  <conditionalFormatting sqref="F32:F40">
    <cfRule type="expression" priority="11" aboveAverage="0" equalAverage="0" bottom="0" percent="0" rank="0" text="" dxfId="0">
      <formula>AND(ISNUMBER(F32),F32=MAX($F$32:$F$40))</formula>
    </cfRule>
  </conditionalFormatting>
  <conditionalFormatting sqref="I32:I40">
    <cfRule type="expression" priority="12" aboveAverage="0" equalAverage="0" bottom="0" percent="0" rank="0" text="" dxfId="0">
      <formula>AND(ISNUMBER(I32),I32=MAX($I$32:$I$40))</formula>
    </cfRule>
  </conditionalFormatting>
  <conditionalFormatting sqref="L32:L40">
    <cfRule type="expression" priority="13" aboveAverage="0" equalAverage="0" bottom="0" percent="0" rank="0" text="" dxfId="0">
      <formula>AND(ISNUMBER(L32),L32=MAX($L$32:$L$40))</formula>
    </cfRule>
  </conditionalFormatting>
  <conditionalFormatting sqref="F41:F49">
    <cfRule type="expression" priority="14" aboveAverage="0" equalAverage="0" bottom="0" percent="0" rank="0" text="" dxfId="0">
      <formula>AND(ISNUMBER(F41),F41=MAX($F$41:$F$49))</formula>
    </cfRule>
  </conditionalFormatting>
  <conditionalFormatting sqref="I41:I49">
    <cfRule type="expression" priority="15" aboveAverage="0" equalAverage="0" bottom="0" percent="0" rank="0" text="" dxfId="0">
      <formula>AND(ISNUMBER(I41),I41=MAX($I$41:$I$49))</formula>
    </cfRule>
  </conditionalFormatting>
  <conditionalFormatting sqref="L41:L49">
    <cfRule type="expression" priority="16" aboveAverage="0" equalAverage="0" bottom="0" percent="0" rank="0" text="" dxfId="0">
      <formula>AND(ISNUMBER(L41),L41=MAX($L$41:$L$49))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2026-10-12T12:08:30Z</dcterms:created>
  <dc:creator>openpyxl</dc:creator>
  <dc:description/>
  <dc:language>en-US</dc:language>
  <cp:lastModifiedBy/>
  <dcterms:modified xsi:type="dcterms:W3CDTF">2026-10-12T12:08:30Z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